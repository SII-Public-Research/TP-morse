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R:\DO\DELIVERY\01_Processus\00-WIP\05 - Mise à jour Revue de pairs\"/>
    </mc:Choice>
  </mc:AlternateContent>
  <bookViews>
    <workbookView xWindow="0" yWindow="0" windowWidth="23040" windowHeight="6828" tabRatio="771"/>
  </bookViews>
  <sheets>
    <sheet name="LISEZ-MOI !" sheetId="1" r:id="rId1"/>
    <sheet name="PARAMETRES" sheetId="2" r:id="rId2"/>
    <sheet name="SYNTHESE" sheetId="4" r:id="rId3"/>
    <sheet name="Fiche de relecture de pairs" sheetId="3" r:id="rId4"/>
    <sheet name="Feuil1" sheetId="5" state="hidden" r:id="rId5"/>
  </sheets>
  <definedNames>
    <definedName name="agence">PARAMETRES!$E$12</definedName>
    <definedName name="Approbateur">PARAMETRES!$E$26</definedName>
    <definedName name="Chemin">PARAMETRES!$E$18</definedName>
    <definedName name="client">PARAMETRES!$E$19</definedName>
    <definedName name="codir.A380.4.2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ctc_client">PARAMETRES!$E$23</definedName>
    <definedName name="date">PARAMETRES!$E$15</definedName>
    <definedName name="DateApprobation">PARAMETRES!$G$26</definedName>
    <definedName name="DateRedaction">PARAMETRES!$G$24</definedName>
    <definedName name="DateVerification">PARAMETRES!$G$25</definedName>
    <definedName name="DCR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dfgg" hidden="1">{"PageGarde1",#N/A,TRUE,"Page de garde";"Page0_1",#N/A,TRUE,"0.1 Fiche Descriptif Programme";"Page0_2",#N/A,TRUE,"0.2 Organisation";"Page1_1",#N/A,TRUE,"1.1 Faits Marquants";"Page1_2",#N/A,TRUE,"1.2 Décisions-Actions";"Page1_3",#N/A,TRUE,"1.3 Indicateur Satisfaction";"Page2_1",#N/A,TRUE,"2.1 Planning Directeur";"Page2_2",#N/A,TRUE,"2.2 Jalons Contractuels";"Page2_3",#N/A,TRUE,"2.3 IMD-IRD";"Page2_4",#N/A,TRUE,"2.4 Avancement Jalons";"Page2_5",#N/A,TRUE,"2.5 DFT";"Page2_6",#N/A,TRUE,"2.6 Obligations Client";"Page3_1",#N/A,TRUE,"3.1 Risques";"Page3_2",#N/A,TRUE,"3.2 Opportunités";"4_Performances",#N/A,TRUE,"4 Perfs et Exigences Critiques";"Page5_Charges",#N/A,TRUE,"5 Charges-Capacité";"6 Proch Etapes",#N/A,TRUE,"6 Proch. Etapes";"7 Reporting Spec",#N/A,TRUE,"7 Reporting Spec.";"Chap8",#N/A,TRUE,"Chap8";"Page8_1",#N/A,TRUE,"8.1 COP-CEP";"Page8_2",#N/A,TRUE,"8.2 CPP-CPE ";"Page8_3",#N/A,TRUE,"8.3 CPP-CPE par WP";"Page8_4",#N/A,TRUE,"8.4 Dépenses CPR-PPS";"Page8_5",#N/A,TRUE,"8.5 Compte d'Exploitation";"Page8_6",#N/A,TRUE,"8.6 Rentabilité"}</definedName>
    <definedName name="fichier">PARAMETRES!$E$17</definedName>
    <definedName name="ident">PARAMETRES!$E$13</definedName>
    <definedName name="_xlnm.Print_Titles" localSheetId="3">'Fiche de relecture de pairs'!$1:$13</definedName>
    <definedName name="_xlnm.Print_Titles" localSheetId="0">'LISEZ-MOI !'!$1:$9</definedName>
    <definedName name="_xlnm.Print_Titles" localSheetId="2">SYNTHESE!$1:$9</definedName>
    <definedName name="Numéro_IFS">PARAMETRES!$E$21</definedName>
    <definedName name="projet">PARAMETRES!$E$20</definedName>
    <definedName name="redacteur">PARAMETRES!$E$24</definedName>
    <definedName name="ref_modele">PARAMETRES!$E$10</definedName>
    <definedName name="RefClient">PARAMETRES!$E$14</definedName>
    <definedName name="Securite">PARAMETRES!$E$16</definedName>
    <definedName name="test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toto2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TypeDoc">PARAMETRES!$E$11</definedName>
    <definedName name="verificateur">PARAMETRES!$E$25</definedName>
    <definedName name="version">PARAMETRES!$E$22</definedName>
    <definedName name="Z_352E0FD3_3DC0_4799_BF18_7F7B8D094994_.wvu.PrintArea" localSheetId="3" hidden="1">'Fiche de relecture de pairs'!$A$1:$K$26</definedName>
    <definedName name="Z_352E0FD3_3DC0_4799_BF18_7F7B8D094994_.wvu.PrintArea" localSheetId="0" hidden="1">'LISEZ-MOI !'!$A$1:$R$35</definedName>
    <definedName name="Z_352E0FD3_3DC0_4799_BF18_7F7B8D094994_.wvu.PrintArea" localSheetId="1" hidden="1">PARAMETRES!$A$1:$H$50</definedName>
    <definedName name="Z_352E0FD3_3DC0_4799_BF18_7F7B8D094994_.wvu.PrintArea" localSheetId="2" hidden="1">SYNTHESE!$A$1:$H$39</definedName>
    <definedName name="Z_352E0FD3_3DC0_4799_BF18_7F7B8D094994_.wvu.PrintTitles" localSheetId="3" hidden="1">'Fiche de relecture de pairs'!$1:$13</definedName>
    <definedName name="Z_352E0FD3_3DC0_4799_BF18_7F7B8D094994_.wvu.PrintTitles" localSheetId="0" hidden="1">'LISEZ-MOI !'!$1:$9</definedName>
    <definedName name="Z_352E0FD3_3DC0_4799_BF18_7F7B8D094994_.wvu.PrintTitles" localSheetId="2" hidden="1">SYNTHESE!$1:$9</definedName>
    <definedName name="Z_352E0FD3_3DC0_4799_BF18_7F7B8D094994_.wvu.Rows" localSheetId="1" hidden="1">PARAMETRES!$24:$26</definedName>
    <definedName name="_xlnm.Print_Area" localSheetId="3">'Fiche de relecture de pairs'!$A$1:$K$26</definedName>
    <definedName name="_xlnm.Print_Area" localSheetId="0">'LISEZ-MOI !'!$A$1:$R$35</definedName>
    <definedName name="_xlnm.Print_Area" localSheetId="1">PARAMETRES!$A$1:$H$50</definedName>
    <definedName name="_xlnm.Print_Area" localSheetId="2">SYNTHESE!$A$1:$H$39</definedName>
  </definedNames>
  <calcPr calcId="162913"/>
  <customWorkbookViews>
    <customWorkbookView name="Pauline STARK - Affichage personnalisé" guid="{352E0FD3-3DC0-4799-BF18-7F7B8D094994}" mergeInterval="0" personalView="1" maximized="1" xWindow="-8" yWindow="-8" windowWidth="1936" windowHeight="1056" tabRatio="771" activeSheetId="2"/>
  </customWorkbookViews>
</workbook>
</file>

<file path=xl/calcChain.xml><?xml version="1.0" encoding="utf-8"?>
<calcChain xmlns="http://schemas.openxmlformats.org/spreadsheetml/2006/main">
  <c r="B28" i="3" l="1"/>
  <c r="F13" i="4" l="1"/>
  <c r="F12" i="4"/>
  <c r="F47" i="2" l="1"/>
  <c r="F48" i="2"/>
  <c r="C48" i="2"/>
  <c r="E48" i="2"/>
  <c r="B30" i="3" l="1"/>
  <c r="B29" i="3" s="1"/>
  <c r="C11" i="4" l="1"/>
  <c r="C14" i="4" l="1"/>
  <c r="C13" i="4"/>
  <c r="F11" i="4" l="1"/>
  <c r="F10" i="4"/>
  <c r="C10" i="4" l="1"/>
  <c r="F49" i="2" l="1"/>
  <c r="C12" i="4"/>
  <c r="E3" i="5" l="1"/>
  <c r="E49" i="2" l="1"/>
  <c r="E47" i="2"/>
  <c r="D10" i="3" l="1"/>
  <c r="B2" i="2" l="1"/>
  <c r="D2" i="4" l="1"/>
  <c r="F2" i="3"/>
  <c r="F6" i="4"/>
  <c r="G5" i="4"/>
  <c r="G4" i="4"/>
  <c r="D8" i="3"/>
  <c r="B6" i="4"/>
  <c r="G3" i="4"/>
  <c r="C3" i="4"/>
  <c r="D3" i="3"/>
  <c r="L3" i="3"/>
  <c r="B6" i="3"/>
  <c r="L8" i="3"/>
  <c r="L6" i="3"/>
  <c r="C49" i="2"/>
  <c r="C47" i="2"/>
  <c r="B6" i="1"/>
  <c r="C2" i="1"/>
  <c r="L10" i="3"/>
  <c r="E17" i="2"/>
  <c r="E18" i="2"/>
  <c r="L5" i="3"/>
  <c r="G2" i="4"/>
</calcChain>
</file>

<file path=xl/comments1.xml><?xml version="1.0" encoding="utf-8"?>
<comments xmlns="http://schemas.openxmlformats.org/spreadsheetml/2006/main">
  <authors>
    <author>Pauline STARK</author>
  </authors>
  <commentList>
    <comment ref="B26" authorId="0" shapeId="0">
      <text>
        <r>
          <rPr>
            <b/>
            <sz val="9"/>
            <color indexed="81"/>
            <rFont val="Tahoma"/>
            <family val="2"/>
          </rPr>
          <t>Pauline STARK: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Vérifier en séance si c'est bien l'approbateur qui ferme et verrouille le document (cf gestion docuentaire)</t>
        </r>
      </text>
    </comment>
    <comment ref="B28" authorId="0" shapeId="0">
      <text>
        <r>
          <rPr>
            <b/>
            <sz val="9"/>
            <color indexed="81"/>
            <rFont val="Tahoma"/>
            <family val="2"/>
          </rPr>
          <t>Pauline STARK:</t>
        </r>
        <r>
          <rPr>
            <sz val="9"/>
            <color indexed="81"/>
            <rFont val="Tahoma"/>
            <family val="2"/>
          </rPr>
          <t xml:space="preserve">
A METTRE A JOUR</t>
        </r>
      </text>
    </comment>
    <comment ref="F34" authorId="0" shapeId="0">
      <text>
        <r>
          <rPr>
            <b/>
            <sz val="9"/>
            <color indexed="81"/>
            <rFont val="Tahoma"/>
            <family val="2"/>
          </rPr>
          <t>Pauline STARK:</t>
        </r>
        <r>
          <rPr>
            <sz val="9"/>
            <color indexed="81"/>
            <rFont val="Tahoma"/>
            <family val="2"/>
          </rPr>
          <t xml:space="preserve">
Dire que les modifs ont été apportées par PST et JLL et vérifié par MBO et validé par SAL</t>
        </r>
      </text>
    </comment>
  </commentList>
</comments>
</file>

<file path=xl/sharedStrings.xml><?xml version="1.0" encoding="utf-8"?>
<sst xmlns="http://schemas.openxmlformats.org/spreadsheetml/2006/main" count="265" uniqueCount="254">
  <si>
    <t>Date</t>
  </si>
  <si>
    <t>Commentaires</t>
  </si>
  <si>
    <t>Référence</t>
  </si>
  <si>
    <t>Date de mise à jour</t>
  </si>
  <si>
    <t xml:space="preserve">Projet : </t>
  </si>
  <si>
    <t xml:space="preserve">Client : </t>
  </si>
  <si>
    <t>&lt;Commentaire&gt;</t>
  </si>
  <si>
    <t>Référence fichier SII :</t>
  </si>
  <si>
    <t>Nom du client :</t>
  </si>
  <si>
    <t>Nom du projet :</t>
  </si>
  <si>
    <t>Nom du contact client :</t>
  </si>
  <si>
    <t>Agence/Bureau  :</t>
  </si>
  <si>
    <t>Nom du fichier :</t>
  </si>
  <si>
    <t>Chemin :</t>
  </si>
  <si>
    <t>Rédacteur :</t>
  </si>
  <si>
    <t>Version :</t>
  </si>
  <si>
    <t>Rédacteur</t>
  </si>
  <si>
    <t>&lt;Rédacteur&gt;</t>
  </si>
  <si>
    <t xml:space="preserve">Version : </t>
  </si>
  <si>
    <t>LISEZ-MOI !!</t>
  </si>
  <si>
    <t>Toutes les cellules en fond bleu foncé sont remplies automatiquement.</t>
  </si>
  <si>
    <t>Règle générale au classeur :</t>
  </si>
  <si>
    <t>Onglet LISEZ-MOI !!</t>
  </si>
  <si>
    <t>xxx</t>
  </si>
  <si>
    <t>Référence client :</t>
  </si>
  <si>
    <t>Date Rédaction</t>
  </si>
  <si>
    <t>Date Vérification</t>
  </si>
  <si>
    <t>Approbateur:</t>
  </si>
  <si>
    <t>Date Approbation</t>
  </si>
  <si>
    <t>&lt;TTTT-PPPP-XX-NNNN-0y-0z&gt;</t>
  </si>
  <si>
    <t>HISTORIQUE DES MODIFICATIONS DU PLAN TYPE</t>
  </si>
  <si>
    <t>Ref. Plan type Excel</t>
  </si>
  <si>
    <t>Commentaire</t>
  </si>
  <si>
    <t>Paramètre n°1</t>
  </si>
  <si>
    <t>Paramètre n°2</t>
  </si>
  <si>
    <t>Paramètre n°3</t>
  </si>
  <si>
    <t>Type ou Titre du document :</t>
  </si>
  <si>
    <t>Date de référence :</t>
  </si>
  <si>
    <t>CIRCUIT DE VALIDATION</t>
  </si>
  <si>
    <t>Rédaction</t>
  </si>
  <si>
    <t>Vérification</t>
  </si>
  <si>
    <t>Approbation</t>
  </si>
  <si>
    <t>Cette feuille permet de renseigner l'historique des versions du document</t>
  </si>
  <si>
    <t>Réf.</t>
  </si>
  <si>
    <t>Ref modele :</t>
  </si>
  <si>
    <t>Référence :</t>
  </si>
  <si>
    <t>Date de mise à jour :</t>
  </si>
  <si>
    <t>Projet :</t>
  </si>
  <si>
    <t>Client :</t>
  </si>
  <si>
    <t>Réf modèle :</t>
  </si>
  <si>
    <t>Réf modèle:</t>
  </si>
  <si>
    <t>Niveau de sécurité :</t>
  </si>
  <si>
    <t>Usage interne SII</t>
  </si>
  <si>
    <t>Société</t>
  </si>
  <si>
    <t>Département-Service</t>
  </si>
  <si>
    <t>Liste de diffusion (A compléter si le niveau de sécurité est "Confidentiel SII" ou "Secret SII").</t>
  </si>
  <si>
    <t>PARAMÈTRES</t>
  </si>
  <si>
    <t>PARAMÈTRES SPECIFIQUES du DOCUMENT</t>
  </si>
  <si>
    <t>N° IFS :</t>
  </si>
  <si>
    <t xml:space="preserve">N°IFS : </t>
  </si>
  <si>
    <t>&lt;0y-0z&gt;</t>
  </si>
  <si>
    <t>01-01</t>
  </si>
  <si>
    <t xml:space="preserve">Prénom / Nom </t>
  </si>
  <si>
    <t>Fiche de revue de pairs</t>
  </si>
  <si>
    <t>D3-0335-03-01</t>
  </si>
  <si>
    <t>Toulouse</t>
  </si>
  <si>
    <t>N/A</t>
  </si>
  <si>
    <t>N°</t>
  </si>
  <si>
    <t>Temps passé</t>
  </si>
  <si>
    <t>Localisation</t>
  </si>
  <si>
    <t>Conformité (à un plan ou un modèle)</t>
  </si>
  <si>
    <t>Identification, sommaire, références, historique</t>
  </si>
  <si>
    <t>Autres</t>
  </si>
  <si>
    <t>Cohérence (interne, externe)</t>
  </si>
  <si>
    <t>Complétude</t>
  </si>
  <si>
    <t>Remarque / Proposition</t>
  </si>
  <si>
    <t>Décision</t>
  </si>
  <si>
    <t>Commentaires / Réponse</t>
  </si>
  <si>
    <t>Vérifié</t>
  </si>
  <si>
    <t>Initiales</t>
  </si>
  <si>
    <t>Nombre de remarques :</t>
  </si>
  <si>
    <t>Temps de relecture total :</t>
  </si>
  <si>
    <t>Relecture de pairs</t>
  </si>
  <si>
    <t>SYNTHESE</t>
  </si>
  <si>
    <t xml:space="preserve">Nombre de remarques ouvertes : </t>
  </si>
  <si>
    <t xml:space="preserve">Nombre de remarques fermées : </t>
  </si>
  <si>
    <t xml:space="preserve">HISTORIQUE DES MODIFICATIONS </t>
  </si>
  <si>
    <t>Sévérité</t>
  </si>
  <si>
    <t>Temps de relecture total des pairs :</t>
  </si>
  <si>
    <t>Logigramme utilisation de la Revue de pairs</t>
  </si>
  <si>
    <t>Auteur/Rédacteur</t>
  </si>
  <si>
    <t>Lire le processus, les rôles et responsabilités</t>
  </si>
  <si>
    <t xml:space="preserve">Définir la date, les initiales et s’identifier sur la ligne prévue. </t>
  </si>
  <si>
    <t>/</t>
  </si>
  <si>
    <t>Approbateur</t>
  </si>
  <si>
    <t>Celui qui apporte son expertise finale dans la dernière relecture. Il doit avoir la compétence, l’autorité et les moyens nécessaires pour approuver le document (TL, CdP, Expert, Pilote, etc).</t>
  </si>
  <si>
    <t xml:space="preserve">Compléter la colonne (K) « Vérifié » du tableau. </t>
  </si>
  <si>
    <r>
      <t xml:space="preserve">Ajouter des indicateurs à l’onglet </t>
    </r>
    <r>
      <rPr>
        <b/>
        <sz val="14"/>
        <color rgb="FF000000"/>
        <rFont val="Lato"/>
        <family val="2"/>
      </rPr>
      <t xml:space="preserve">SYNTHESE </t>
    </r>
    <r>
      <rPr>
        <sz val="14"/>
        <color rgb="FF000000"/>
        <rFont val="Lato"/>
        <family val="2"/>
      </rPr>
      <t>si nécessaire.</t>
    </r>
  </si>
  <si>
    <t>Vérificateur  :</t>
  </si>
  <si>
    <t xml:space="preserve">Type </t>
  </si>
  <si>
    <t>Critères de lecture</t>
  </si>
  <si>
    <t>Forme</t>
  </si>
  <si>
    <t>Orthographe et expression, lisibilité et structuration</t>
  </si>
  <si>
    <t>Fond</t>
  </si>
  <si>
    <t>Pertinence, clarté, non ambiguité</t>
  </si>
  <si>
    <t>Nombre de remarques de forme:</t>
  </si>
  <si>
    <t>Nombre de remarques de fond :</t>
  </si>
  <si>
    <t>Documents applicables</t>
  </si>
  <si>
    <t>Descriptifs</t>
  </si>
  <si>
    <t>Nom du document</t>
  </si>
  <si>
    <t>Lien de la liste de contrôle</t>
  </si>
  <si>
    <t>DOCUMENTS APPLICABLES</t>
  </si>
  <si>
    <t>Temps passé sur les remarques</t>
  </si>
  <si>
    <t>15 min</t>
  </si>
  <si>
    <t>30 min</t>
  </si>
  <si>
    <t>45 min</t>
  </si>
  <si>
    <t>60 min</t>
  </si>
  <si>
    <t>75 min</t>
  </si>
  <si>
    <t>90 min</t>
  </si>
  <si>
    <t>105 min</t>
  </si>
  <si>
    <t>120 min</t>
  </si>
  <si>
    <t>135 min</t>
  </si>
  <si>
    <t>150 min</t>
  </si>
  <si>
    <t>165 min</t>
  </si>
  <si>
    <t>180 min</t>
  </si>
  <si>
    <t>195 min</t>
  </si>
  <si>
    <t>210 min</t>
  </si>
  <si>
    <t>225 min</t>
  </si>
  <si>
    <t>240 min</t>
  </si>
  <si>
    <t>255 min</t>
  </si>
  <si>
    <t>270 min</t>
  </si>
  <si>
    <t>285 min</t>
  </si>
  <si>
    <t>300 min</t>
  </si>
  <si>
    <t>315 min</t>
  </si>
  <si>
    <t>330 min</t>
  </si>
  <si>
    <t>345 min</t>
  </si>
  <si>
    <t>360 min</t>
  </si>
  <si>
    <t>375 min</t>
  </si>
  <si>
    <t>390 min</t>
  </si>
  <si>
    <t>405 min</t>
  </si>
  <si>
    <t>420 min</t>
  </si>
  <si>
    <t>435 min</t>
  </si>
  <si>
    <t>450 min</t>
  </si>
  <si>
    <t>465 min</t>
  </si>
  <si>
    <t>480 min</t>
  </si>
  <si>
    <t>495 min</t>
  </si>
  <si>
    <t>510 min</t>
  </si>
  <si>
    <t>525 min</t>
  </si>
  <si>
    <t>540 min</t>
  </si>
  <si>
    <t>555 min</t>
  </si>
  <si>
    <t>570 min</t>
  </si>
  <si>
    <t>585 min</t>
  </si>
  <si>
    <t>600 min</t>
  </si>
  <si>
    <t>615 min</t>
  </si>
  <si>
    <t>630 min</t>
  </si>
  <si>
    <t>645 min</t>
  </si>
  <si>
    <t>660 min</t>
  </si>
  <si>
    <t>675 min</t>
  </si>
  <si>
    <t>690 min</t>
  </si>
  <si>
    <t>705 min</t>
  </si>
  <si>
    <t>720 min</t>
  </si>
  <si>
    <t>735 min</t>
  </si>
  <si>
    <t>750 min</t>
  </si>
  <si>
    <t>765 min</t>
  </si>
  <si>
    <t>780 min</t>
  </si>
  <si>
    <t>795 min</t>
  </si>
  <si>
    <t>810 min</t>
  </si>
  <si>
    <t>825 min</t>
  </si>
  <si>
    <t>840 min</t>
  </si>
  <si>
    <t>855 min</t>
  </si>
  <si>
    <t>870 min</t>
  </si>
  <si>
    <t>885 min</t>
  </si>
  <si>
    <t>900 min</t>
  </si>
  <si>
    <t>915 min</t>
  </si>
  <si>
    <t>930 min</t>
  </si>
  <si>
    <t>945 min</t>
  </si>
  <si>
    <t>960 min</t>
  </si>
  <si>
    <t>975 min</t>
  </si>
  <si>
    <t>990 min</t>
  </si>
  <si>
    <t>1005 min</t>
  </si>
  <si>
    <t>1020 min</t>
  </si>
  <si>
    <t>1035 min</t>
  </si>
  <si>
    <t>1050 min</t>
  </si>
  <si>
    <t>1065 min</t>
  </si>
  <si>
    <t>1080 min</t>
  </si>
  <si>
    <t>1095 min</t>
  </si>
  <si>
    <t>1110 min</t>
  </si>
  <si>
    <t>1125 min</t>
  </si>
  <si>
    <t>1140 min</t>
  </si>
  <si>
    <t>1155 min</t>
  </si>
  <si>
    <t>1170 min</t>
  </si>
  <si>
    <t>1185 min</t>
  </si>
  <si>
    <t>1200 min</t>
  </si>
  <si>
    <t>1215 min</t>
  </si>
  <si>
    <t>1230 min</t>
  </si>
  <si>
    <t>1245 min</t>
  </si>
  <si>
    <t>1260 min</t>
  </si>
  <si>
    <t>1275 min</t>
  </si>
  <si>
    <t>1290 min</t>
  </si>
  <si>
    <t>1305 min</t>
  </si>
  <si>
    <t>1320 min</t>
  </si>
  <si>
    <t>1335 min</t>
  </si>
  <si>
    <t>1350 min</t>
  </si>
  <si>
    <t>1365 min</t>
  </si>
  <si>
    <t>1380 min</t>
  </si>
  <si>
    <t>1395 min</t>
  </si>
  <si>
    <t>1410 min</t>
  </si>
  <si>
    <t>1425 min</t>
  </si>
  <si>
    <t>Conversion</t>
  </si>
  <si>
    <t>Création de remarques</t>
  </si>
  <si>
    <t>Fermeture de remarques</t>
  </si>
  <si>
    <t>Onglet PARAMETRES</t>
  </si>
  <si>
    <t>Celui qui apporte son expertise dans la relecture du livrable et ouvre des remarques si nécessaire.</t>
  </si>
  <si>
    <t>Celui qui initie le document à relire.
Il définit le périmètre d’action et la liste de diffusion.</t>
  </si>
  <si>
    <t>Définir la date, les initiales et s’identifier sur la ligne prévue.
Verrouiller le document.</t>
  </si>
  <si>
    <t>Onglet 
LISEZ-MOI!</t>
  </si>
  <si>
    <t xml:space="preserve">Onglet
SYNTHESE </t>
  </si>
  <si>
    <t>Onglet 
Fiche de relecture de pairs</t>
  </si>
  <si>
    <t>Pair/validateur</t>
  </si>
  <si>
    <t>Après mise à jour de l'historique (lignes 27 et suivantes)</t>
  </si>
  <si>
    <t>Commentaire si nécessaire</t>
  </si>
  <si>
    <t>Rôles :</t>
  </si>
  <si>
    <t>Référent validateur</t>
  </si>
  <si>
    <r>
      <t xml:space="preserve">Créer une ligne en cliquant sur
</t>
    </r>
    <r>
      <rPr>
        <sz val="14"/>
        <color rgb="FFFF0000"/>
        <rFont val="Lato"/>
        <family val="2"/>
      </rPr>
      <t xml:space="preserve">
</t>
    </r>
    <r>
      <rPr>
        <sz val="14"/>
        <rFont val="Lato"/>
        <family val="2"/>
      </rPr>
      <t>Remplir les champs date, initiales, nom, temps passé total pour la relecture du livrable.</t>
    </r>
  </si>
  <si>
    <t>D3-0335-03</t>
  </si>
  <si>
    <t>S4-062-07</t>
  </si>
  <si>
    <t>Pauline STARK-Janyce LLOBET</t>
  </si>
  <si>
    <t>Refonte et mise à jour de la revue de pairs</t>
  </si>
  <si>
    <t>Temps total passé pour fermeture des commentaires</t>
  </si>
  <si>
    <t>&lt;Nom du Client&gt;</t>
  </si>
  <si>
    <t>&lt;Nom du Projet&gt;</t>
  </si>
  <si>
    <t>&lt;Numéro IFS&gt;</t>
  </si>
  <si>
    <t>&lt;Version du document&gt;</t>
  </si>
  <si>
    <t>&lt;Nom du contact client&gt;</t>
  </si>
  <si>
    <t>&lt;Nom du Rédacteur&gt;</t>
  </si>
  <si>
    <t>&lt;Nom du Vérificateur&gt;</t>
  </si>
  <si>
    <t>&lt;Nom de l'Approbateur&gt;</t>
  </si>
  <si>
    <t>&lt;Date Rédaction&gt;</t>
  </si>
  <si>
    <t>&lt;Date Vérification&gt;</t>
  </si>
  <si>
    <t>&lt;Date Approbation&gt;</t>
  </si>
  <si>
    <t>Réalisé</t>
  </si>
  <si>
    <t>Pair/Validateur/Relecteur</t>
  </si>
  <si>
    <t>Compléter les colonnes (H) « Décisions » et (J) « Temps passé ». 
Possibilité de réaliser des commentaires.</t>
  </si>
  <si>
    <t>Définir le critère concerné, sa localisation dans le document (N° de page ou de § par ex), la sévérité du défaut pour chaque remarque clairement rédigée.
Possibilité de réaliser des commentaires.</t>
  </si>
  <si>
    <t>1 min</t>
  </si>
  <si>
    <t>Nombre de remarques majeures :</t>
  </si>
  <si>
    <t>Nombre de remarques mineures :</t>
  </si>
  <si>
    <t>Critère 1</t>
  </si>
  <si>
    <t>Critère 2</t>
  </si>
  <si>
    <t xml:space="preserve">Critère 3 </t>
  </si>
  <si>
    <t>Critère …</t>
  </si>
  <si>
    <t>Si vous souhaitez ajouter des KPI, utilisez les champs ci-après :</t>
  </si>
  <si>
    <t>Si vous souhaitez ajouter des checklists supplémentaires, créez un nouvel onglet et complétez le tableau "Documents applicables" avec le titre de la checklist dans l'onglet [PARAMETRES].</t>
  </si>
  <si>
    <t>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</si>
</sst>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* #,##0.00\ [$€-1]_-;\-* #,##0.00\ [$€-1]_-;_-* &quot;-&quot;??\ [$€-1]_-"/>
    <numFmt numFmtId="165" formatCode="_-* #,##0\ _F_-;\-* #,##0\ _F_-;_-* &quot;-&quot;\ _F_-;_-@_-"/>
    <numFmt numFmtId="166" formatCode="#,##0&quot; h&quot;"/>
    <numFmt numFmtId="167" formatCode="_-* #,##0\ &quot;F&quot;_-;\-* #,##0\ &quot;F&quot;_-;_-* &quot;-&quot;\ &quot;F&quot;_-;_-@_-"/>
    <numFmt numFmtId="168" formatCode="mmm&quot; &quot;yy"/>
    <numFmt numFmtId="169" formatCode="#,##0.0&quot; déf/kLoc&quot;"/>
    <numFmt numFmtId="170" formatCode="#,##0.0&quot; h/déf&quot;"/>
    <numFmt numFmtId="171" formatCode="??0&quot; %&quot;"/>
    <numFmt numFmtId="172" formatCode="h:mm;@"/>
    <numFmt numFmtId="173" formatCode="[$-F400]h:mm:ss\ AM/PM"/>
  </numFmts>
  <fonts count="77" x14ac:knownFonts="1">
    <font>
      <sz val="10"/>
      <name val="Arial"/>
    </font>
    <font>
      <sz val="10"/>
      <name val="Arial"/>
      <family val="2"/>
    </font>
    <font>
      <b/>
      <sz val="12"/>
      <color indexed="12"/>
      <name val="Arial"/>
      <family val="2"/>
    </font>
    <font>
      <sz val="8"/>
      <name val="Arial"/>
      <family val="2"/>
    </font>
    <font>
      <sz val="9"/>
      <name val="Trebuchet MS"/>
      <family val="2"/>
    </font>
    <font>
      <b/>
      <sz val="14"/>
      <color indexed="9"/>
      <name val="Trebuchet MS"/>
      <family val="2"/>
    </font>
    <font>
      <sz val="10"/>
      <name val="MS Sans Serif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2"/>
      <name val="Trebuchet MS"/>
      <family val="2"/>
    </font>
    <font>
      <sz val="14"/>
      <name val="Trebuchet MS"/>
      <family val="2"/>
    </font>
    <font>
      <sz val="8"/>
      <color indexed="9"/>
      <name val="Arial"/>
      <family val="2"/>
    </font>
    <font>
      <sz val="8"/>
      <name val="MS Sans Serif"/>
      <family val="2"/>
    </font>
    <font>
      <sz val="8"/>
      <color indexed="15"/>
      <name val="MS Sans Serif"/>
      <family val="2"/>
    </font>
    <font>
      <b/>
      <sz val="8"/>
      <name val="Arial"/>
      <family val="2"/>
    </font>
    <font>
      <sz val="8"/>
      <name val="Times New Roman"/>
      <family val="1"/>
    </font>
    <font>
      <sz val="12"/>
      <name val="Trebuchet MS"/>
      <family val="2"/>
    </font>
    <font>
      <u/>
      <sz val="12"/>
      <name val="Trebuchet MS"/>
      <family val="2"/>
    </font>
    <font>
      <u/>
      <sz val="10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Trebuchet MS"/>
      <family val="2"/>
    </font>
    <font>
      <b/>
      <sz val="8"/>
      <name val="Trebuchet MS"/>
      <family val="2"/>
    </font>
    <font>
      <sz val="12"/>
      <color theme="0"/>
      <name val="Trebuchet MS"/>
      <family val="2"/>
    </font>
    <font>
      <b/>
      <u/>
      <sz val="12"/>
      <color theme="3" tint="-0.249977111117893"/>
      <name val="Trebuchet MS"/>
      <family val="2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b/>
      <sz val="8"/>
      <color theme="1"/>
      <name val="Trebuchet MS"/>
      <family val="2"/>
    </font>
    <font>
      <b/>
      <sz val="10"/>
      <color theme="0"/>
      <name val="Trebuchet MS"/>
      <family val="2"/>
    </font>
    <font>
      <sz val="10"/>
      <color theme="0"/>
      <name val="Trebuchet MS"/>
      <family val="2"/>
    </font>
    <font>
      <i/>
      <sz val="12"/>
      <color theme="3"/>
      <name val="Eras Demi ITC"/>
      <family val="2"/>
    </font>
    <font>
      <b/>
      <sz val="10"/>
      <color rgb="FFC00000"/>
      <name val="Trebuchet MS"/>
      <family val="2"/>
    </font>
    <font>
      <sz val="10"/>
      <color rgb="FFC00000"/>
      <name val="Trebuchet MS"/>
      <family val="2"/>
    </font>
    <font>
      <sz val="10"/>
      <color theme="3" tint="-0.249977111117893"/>
      <name val="Arial"/>
      <family val="2"/>
    </font>
    <font>
      <sz val="11"/>
      <name val="Lato"/>
      <family val="2"/>
    </font>
    <font>
      <b/>
      <sz val="11"/>
      <name val="Lato"/>
      <family val="2"/>
    </font>
    <font>
      <sz val="10"/>
      <name val="Lato"/>
      <family val="2"/>
    </font>
    <font>
      <b/>
      <sz val="12"/>
      <color theme="0"/>
      <name val="Lato"/>
      <family val="2"/>
    </font>
    <font>
      <b/>
      <sz val="10"/>
      <name val="Lato"/>
      <family val="2"/>
    </font>
    <font>
      <b/>
      <sz val="11"/>
      <color theme="0"/>
      <name val="Lato"/>
      <family val="2"/>
    </font>
    <font>
      <b/>
      <sz val="28"/>
      <color theme="0"/>
      <name val="Lato"/>
      <family val="2"/>
    </font>
    <font>
      <b/>
      <sz val="14"/>
      <color theme="0"/>
      <name val="Lato"/>
      <family val="2"/>
    </font>
    <font>
      <b/>
      <sz val="11"/>
      <color theme="1" tint="0.499984740745262"/>
      <name val="Lato"/>
      <family val="2"/>
    </font>
    <font>
      <sz val="11"/>
      <color theme="1" tint="0.499984740745262"/>
      <name val="Lato"/>
      <family val="2"/>
    </font>
    <font>
      <b/>
      <sz val="11"/>
      <color theme="4"/>
      <name val="Lato"/>
      <family val="2"/>
    </font>
    <font>
      <b/>
      <sz val="10"/>
      <color theme="4"/>
      <name val="Lato"/>
      <family val="2"/>
    </font>
    <font>
      <sz val="10"/>
      <color theme="4"/>
      <name val="Lato"/>
      <family val="2"/>
    </font>
    <font>
      <sz val="10"/>
      <color theme="0"/>
      <name val="Lato"/>
      <family val="2"/>
    </font>
    <font>
      <i/>
      <sz val="12"/>
      <color theme="0"/>
      <name val="Lato"/>
      <family val="2"/>
    </font>
    <font>
      <sz val="8"/>
      <color theme="0"/>
      <name val="Lato"/>
      <family val="2"/>
    </font>
    <font>
      <b/>
      <sz val="10"/>
      <color theme="0"/>
      <name val="Lato"/>
      <family val="2"/>
    </font>
    <font>
      <b/>
      <sz val="12"/>
      <color theme="4"/>
      <name val="Lato"/>
      <family val="2"/>
    </font>
    <font>
      <b/>
      <sz val="28"/>
      <color theme="0"/>
      <name val="Trebuchet MS"/>
      <family val="2"/>
    </font>
    <font>
      <b/>
      <sz val="14"/>
      <color rgb="FFFF0000"/>
      <name val="Lato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2060"/>
      <name val="Arial"/>
      <family val="2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indexed="12"/>
      <name val="Arial"/>
      <family val="2"/>
    </font>
    <font>
      <i/>
      <sz val="10"/>
      <color theme="1"/>
      <name val="Arial"/>
      <family val="2"/>
    </font>
    <font>
      <b/>
      <sz val="14"/>
      <color rgb="FF000000"/>
      <name val="Lato"/>
      <family val="2"/>
    </font>
    <font>
      <i/>
      <sz val="14"/>
      <color rgb="FF7F7F7F"/>
      <name val="Lato"/>
      <family val="2"/>
    </font>
    <font>
      <sz val="14"/>
      <color rgb="FF000000"/>
      <name val="Lato"/>
      <family val="2"/>
    </font>
    <font>
      <sz val="14"/>
      <color rgb="FFFF0000"/>
      <name val="Lato"/>
      <family val="2"/>
    </font>
    <font>
      <sz val="12"/>
      <color indexed="81"/>
      <name val="Tahoma"/>
      <family val="2"/>
    </font>
    <font>
      <b/>
      <sz val="16"/>
      <color rgb="FFFFFFFF"/>
      <name val="Lato Heavy"/>
      <family val="2"/>
    </font>
    <font>
      <sz val="14"/>
      <name val="Lato"/>
      <family val="2"/>
    </font>
    <font>
      <sz val="10"/>
      <color rgb="FFFF0000"/>
      <name val="Trebuchet MS"/>
      <family val="2"/>
    </font>
    <font>
      <b/>
      <sz val="12"/>
      <color theme="0"/>
      <name val="Trebuchet MS"/>
      <family val="2"/>
    </font>
    <font>
      <sz val="12"/>
      <color theme="0"/>
      <name val="Calibri"/>
      <family val="2"/>
      <scheme val="minor"/>
    </font>
    <font>
      <b/>
      <sz val="12"/>
      <color rgb="FFFF0000"/>
      <name val="Trebuchet MS"/>
      <family val="2"/>
    </font>
    <font>
      <i/>
      <sz val="10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9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9"/>
      </patternFill>
    </fill>
    <fill>
      <patternFill patternType="solid">
        <fgColor theme="6" tint="0.79998168889431442"/>
        <bgColor indexed="9"/>
      </patternFill>
    </fill>
    <fill>
      <patternFill patternType="solid">
        <fgColor theme="4"/>
        <bgColor indexed="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CD5E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2DEEF"/>
        <bgColor indexed="64"/>
      </patternFill>
    </fill>
    <fill>
      <patternFill patternType="solid">
        <fgColor rgb="FFEAEF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9"/>
      </patternFill>
    </fill>
    <fill>
      <patternFill patternType="solid">
        <fgColor theme="2" tint="-9.9978637043366805E-2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double">
        <color theme="0" tint="-0.14993743705557422"/>
      </right>
      <top/>
      <bottom/>
      <diagonal/>
    </border>
    <border>
      <left style="double">
        <color theme="0" tint="-0.14993743705557422"/>
      </left>
      <right/>
      <top/>
      <bottom/>
      <diagonal/>
    </border>
    <border>
      <left style="double">
        <color theme="0" tint="-0.14993743705557422"/>
      </left>
      <right/>
      <top/>
      <bottom style="double">
        <color theme="0" tint="-0.14993743705557422"/>
      </bottom>
      <diagonal/>
    </border>
    <border>
      <left/>
      <right/>
      <top/>
      <bottom style="double">
        <color theme="0" tint="-0.14993743705557422"/>
      </bottom>
      <diagonal/>
    </border>
    <border>
      <left/>
      <right style="double">
        <color theme="0" tint="-0.14993743705557422"/>
      </right>
      <top/>
      <bottom style="double">
        <color theme="0" tint="-0.14993743705557422"/>
      </bottom>
      <diagonal/>
    </border>
    <border>
      <left style="double">
        <color theme="0" tint="-0.14996795556505021"/>
      </left>
      <right/>
      <top/>
      <bottom/>
      <diagonal/>
    </border>
    <border>
      <left/>
      <right style="double">
        <color theme="0" tint="-0.14996795556505021"/>
      </right>
      <top/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double">
        <color theme="0" tint="-0.24994659260841701"/>
      </left>
      <right style="thin">
        <color theme="0"/>
      </right>
      <top style="double">
        <color theme="0" tint="-0.24994659260841701"/>
      </top>
      <bottom style="double">
        <color theme="0" tint="-0.24994659260841701"/>
      </bottom>
      <diagonal/>
    </border>
    <border>
      <left style="thin">
        <color theme="0"/>
      </left>
      <right style="thin">
        <color theme="0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double">
        <color theme="0" tint="-0.24994659260841701"/>
      </top>
      <bottom/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/>
      <diagonal/>
    </border>
    <border>
      <left style="double">
        <color theme="0" tint="-0.14996795556505021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theme="0" tint="-0.14993743705557422"/>
      </left>
      <right/>
      <top/>
      <bottom style="thin">
        <color theme="0" tint="-4.9989318521683403E-2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 style="thin">
        <color theme="0" tint="-4.9989318521683403E-2"/>
      </right>
      <top style="double">
        <color theme="0" tint="-0.2499465926084170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double">
        <color theme="0" tint="-0.24994659260841701"/>
      </top>
      <bottom style="thin">
        <color theme="0" tint="-4.9989318521683403E-2"/>
      </bottom>
      <diagonal/>
    </border>
    <border>
      <left style="double">
        <color theme="0" tint="-0.24994659260841701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double">
        <color theme="0" tint="-0.24994659260841701"/>
      </left>
      <right style="thin">
        <color theme="0" tint="-4.9989318521683403E-2"/>
      </right>
      <top style="thin">
        <color theme="0" tint="-4.9989318521683403E-2"/>
      </top>
      <bottom style="double">
        <color theme="0" tint="-0.2499465926084170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double">
        <color theme="0" tint="-0.24994659260841701"/>
      </bottom>
      <diagonal/>
    </border>
    <border>
      <left style="thin">
        <color theme="0"/>
      </left>
      <right style="thin">
        <color theme="0"/>
      </right>
      <top style="double">
        <color theme="0" tint="-0.24994659260841701"/>
      </top>
      <bottom/>
      <diagonal/>
    </border>
    <border>
      <left style="double">
        <color theme="0" tint="-0.14996795556505021"/>
      </left>
      <right style="double">
        <color theme="0" tint="-0.14996795556505021"/>
      </right>
      <top style="double">
        <color theme="0" tint="-0.14996795556505021"/>
      </top>
      <bottom style="double">
        <color theme="0" tint="-0.14996795556505021"/>
      </bottom>
      <diagonal/>
    </border>
    <border>
      <left style="double">
        <color theme="4" tint="0.79992065187536243"/>
      </left>
      <right/>
      <top/>
      <bottom/>
      <diagonal/>
    </border>
    <border>
      <left/>
      <right style="double">
        <color theme="0" tint="-0.14993743705557422"/>
      </right>
      <top style="double">
        <color theme="0" tint="-0.14996795556505021"/>
      </top>
      <bottom/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double">
        <color theme="4" tint="0.79992065187536243"/>
      </right>
      <top/>
      <bottom style="thin">
        <color theme="0" tint="-4.9989318521683403E-2"/>
      </bottom>
      <diagonal/>
    </border>
    <border>
      <left style="thin">
        <color theme="0"/>
      </left>
      <right style="double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double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/>
      <bottom/>
      <diagonal/>
    </border>
    <border>
      <left/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double">
        <color theme="0" tint="-0.24994659260841701"/>
      </right>
      <top/>
      <bottom style="thin">
        <color theme="0"/>
      </bottom>
      <diagonal/>
    </border>
    <border>
      <left style="double">
        <color theme="4" tint="0.79998168889431442"/>
      </left>
      <right/>
      <top style="thin">
        <color theme="0"/>
      </top>
      <bottom/>
      <diagonal/>
    </border>
    <border>
      <left/>
      <right style="double">
        <color theme="0" tint="-0.24994659260841701"/>
      </right>
      <top style="thin">
        <color theme="0"/>
      </top>
      <bottom/>
      <diagonal/>
    </border>
    <border>
      <left/>
      <right/>
      <top/>
      <bottom style="double">
        <color theme="0" tint="-0.24994659260841701"/>
      </bottom>
      <diagonal/>
    </border>
    <border>
      <left style="thin">
        <color theme="0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24994659260841701"/>
      </top>
      <bottom/>
      <diagonal/>
    </border>
    <border>
      <left style="thin">
        <color theme="0" tint="-0.1499679555650502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14996795556505021"/>
      </bottom>
      <diagonal/>
    </border>
    <border>
      <left style="thin">
        <color theme="0"/>
      </left>
      <right/>
      <top style="double">
        <color theme="0" tint="-0.24994659260841701"/>
      </top>
      <bottom style="double">
        <color theme="0" tint="-0.14996795556505021"/>
      </bottom>
      <diagonal/>
    </border>
    <border>
      <left/>
      <right/>
      <top style="double">
        <color theme="0" tint="-0.24994659260841701"/>
      </top>
      <bottom style="double">
        <color theme="0" tint="-0.1499679555650502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double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/>
      <diagonal/>
    </border>
    <border>
      <left/>
      <right/>
      <top style="double">
        <color theme="0" tint="-0.14993743705557422"/>
      </top>
      <bottom/>
      <diagonal/>
    </border>
    <border>
      <left/>
      <right style="double">
        <color theme="0" tint="-0.14996795556505021"/>
      </right>
      <top style="double">
        <color theme="0" tint="-0.149937437055574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 style="double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theme="0" tint="-0.249977111117893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thin">
        <color theme="0"/>
      </left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theme="0" tint="-0.14996795556505021"/>
      </left>
      <right/>
      <top style="double">
        <color theme="0" tint="-0.14996795556505021"/>
      </top>
      <bottom style="double">
        <color theme="0" tint="-0.14996795556505021"/>
      </bottom>
      <diagonal/>
    </border>
    <border>
      <left style="thin">
        <color theme="0" tint="-4.9989318521683403E-2"/>
      </left>
      <right/>
      <top style="double">
        <color theme="0" tint="-0.24994659260841701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double">
        <color theme="0" tint="-0.24994659260841701"/>
      </bottom>
      <diagonal/>
    </border>
  </borders>
  <cellStyleXfs count="22">
    <xf numFmtId="0" fontId="0" fillId="0" borderId="0"/>
    <xf numFmtId="0" fontId="11" fillId="0" borderId="0" applyNumberFormat="0" applyFill="0" applyBorder="0" applyAlignment="0"/>
    <xf numFmtId="165" fontId="1" fillId="0" borderId="0" applyFont="0" applyFill="0" applyBorder="0" applyAlignment="0" applyProtection="0"/>
    <xf numFmtId="166" fontId="12" fillId="0" borderId="0" applyFont="0" applyFill="0" applyBorder="0">
      <alignment horizontal="right"/>
      <protection locked="0"/>
    </xf>
    <xf numFmtId="167" fontId="1" fillId="0" borderId="0" applyFont="0" applyFill="0" applyBorder="0" applyAlignment="0" applyProtection="0"/>
    <xf numFmtId="14" fontId="12" fillId="2" borderId="0" applyFont="0" applyBorder="0" applyAlignment="0">
      <alignment vertical="top"/>
    </xf>
    <xf numFmtId="168" fontId="12" fillId="2" borderId="0" applyFont="0" applyBorder="0" applyAlignment="0">
      <alignment vertical="top"/>
    </xf>
    <xf numFmtId="14" fontId="12" fillId="0" borderId="0" applyFont="0" applyFill="0" applyBorder="0" applyProtection="0">
      <alignment horizontal="center"/>
      <protection locked="0"/>
    </xf>
    <xf numFmtId="169" fontId="3" fillId="0" borderId="0" applyFill="0" applyBorder="0">
      <alignment horizontal="right"/>
    </xf>
    <xf numFmtId="0" fontId="3" fillId="0" borderId="1" applyBorder="0"/>
    <xf numFmtId="164" fontId="1" fillId="0" borderId="0" applyFont="0" applyFill="0" applyBorder="0" applyAlignment="0" applyProtection="0"/>
    <xf numFmtId="0" fontId="2" fillId="0" borderId="0" applyNumberFormat="0" applyFont="0" applyFill="0" applyBorder="0" applyAlignment="0">
      <alignment horizontal="left" vertical="top"/>
    </xf>
    <xf numFmtId="170" fontId="3" fillId="0" borderId="0" applyFill="0" applyBorder="0">
      <alignment horizontal="right"/>
      <protection locked="0"/>
    </xf>
    <xf numFmtId="0" fontId="13" fillId="3" borderId="0"/>
    <xf numFmtId="0" fontId="12" fillId="2" borderId="0" applyNumberFormat="0" applyFont="0" applyBorder="0" applyAlignment="0">
      <alignment vertical="top"/>
    </xf>
    <xf numFmtId="0" fontId="6" fillId="0" borderId="0"/>
    <xf numFmtId="0" fontId="6" fillId="0" borderId="0"/>
    <xf numFmtId="171" fontId="3" fillId="0" borderId="0" applyFont="0" applyFill="0" applyBorder="0">
      <alignment horizontal="right"/>
      <protection locked="0"/>
    </xf>
    <xf numFmtId="0" fontId="11" fillId="0" borderId="2" applyBorder="0"/>
    <xf numFmtId="0" fontId="14" fillId="0" borderId="3" applyBorder="0"/>
    <xf numFmtId="0" fontId="15" fillId="0" borderId="4" applyBorder="0"/>
    <xf numFmtId="0" fontId="1" fillId="0" borderId="0"/>
  </cellStyleXfs>
  <cellXfs count="350">
    <xf numFmtId="0" fontId="0" fillId="0" borderId="0" xfId="0"/>
    <xf numFmtId="0" fontId="4" fillId="0" borderId="0" xfId="0" applyFont="1" applyAlignment="1">
      <alignment vertical="center" wrapText="1"/>
    </xf>
    <xf numFmtId="0" fontId="7" fillId="0" borderId="0" xfId="0" applyFont="1"/>
    <xf numFmtId="0" fontId="7" fillId="0" borderId="0" xfId="0" applyFont="1" applyBorder="1" applyAlignment="1"/>
    <xf numFmtId="9" fontId="10" fillId="0" borderId="0" xfId="0" applyNumberFormat="1" applyFont="1" applyFill="1" applyBorder="1" applyAlignment="1" applyProtection="1"/>
    <xf numFmtId="9" fontId="10" fillId="0" borderId="0" xfId="0" applyNumberFormat="1" applyFont="1" applyFill="1" applyBorder="1" applyAlignment="1" applyProtection="1">
      <alignment horizontal="centerContinuous"/>
    </xf>
    <xf numFmtId="10" fontId="10" fillId="0" borderId="0" xfId="0" applyNumberFormat="1" applyFont="1" applyFill="1" applyBorder="1" applyAlignment="1" applyProtection="1">
      <alignment horizontal="centerContinuous"/>
    </xf>
    <xf numFmtId="0" fontId="7" fillId="0" borderId="5" xfId="0" applyFont="1" applyFill="1" applyBorder="1"/>
    <xf numFmtId="0" fontId="7" fillId="0" borderId="0" xfId="0" applyFont="1" applyFill="1"/>
    <xf numFmtId="0" fontId="7" fillId="0" borderId="0" xfId="16" applyFont="1" applyFill="1" applyProtection="1"/>
    <xf numFmtId="0" fontId="10" fillId="0" borderId="0" xfId="0" applyFont="1" applyFill="1" applyProtection="1"/>
    <xf numFmtId="0" fontId="10" fillId="0" borderId="0" xfId="0" applyFont="1" applyFill="1" applyAlignment="1" applyProtection="1">
      <alignment horizontal="right"/>
    </xf>
    <xf numFmtId="0" fontId="7" fillId="0" borderId="5" xfId="16" applyFont="1" applyFill="1" applyBorder="1" applyProtection="1"/>
    <xf numFmtId="0" fontId="7" fillId="0" borderId="0" xfId="16" applyFont="1" applyFill="1" applyAlignment="1" applyProtection="1">
      <alignment horizontal="right"/>
    </xf>
    <xf numFmtId="0" fontId="1" fillId="0" borderId="6" xfId="0" applyFont="1" applyBorder="1" applyAlignment="1">
      <alignment wrapText="1"/>
    </xf>
    <xf numFmtId="0" fontId="16" fillId="0" borderId="0" xfId="0" applyFont="1" applyBorder="1" applyAlignment="1">
      <alignment vertical="center" wrapText="1"/>
    </xf>
    <xf numFmtId="0" fontId="16" fillId="0" borderId="6" xfId="0" applyFont="1" applyBorder="1" applyAlignment="1">
      <alignment vertical="center" wrapText="1"/>
    </xf>
    <xf numFmtId="0" fontId="24" fillId="4" borderId="6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5" fillId="0" borderId="6" xfId="0" applyFont="1" applyBorder="1" applyAlignment="1">
      <alignment vertical="center" wrapText="1"/>
    </xf>
    <xf numFmtId="0" fontId="9" fillId="0" borderId="1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/>
    </xf>
    <xf numFmtId="0" fontId="7" fillId="0" borderId="0" xfId="0" applyFont="1" applyBorder="1" applyAlignment="1" applyProtection="1">
      <protection locked="0"/>
    </xf>
    <xf numFmtId="0" fontId="7" fillId="0" borderId="0" xfId="0" applyFont="1" applyBorder="1" applyProtection="1">
      <protection locked="0"/>
    </xf>
    <xf numFmtId="0" fontId="4" fillId="0" borderId="0" xfId="0" applyFont="1" applyBorder="1" applyAlignment="1" applyProtection="1">
      <alignment vertical="center" wrapText="1"/>
      <protection locked="0"/>
    </xf>
    <xf numFmtId="0" fontId="7" fillId="0" borderId="0" xfId="0" applyFont="1" applyBorder="1" applyProtection="1"/>
    <xf numFmtId="0" fontId="4" fillId="0" borderId="0" xfId="0" applyFont="1" applyBorder="1" applyAlignment="1" applyProtection="1">
      <alignment vertical="center" wrapText="1"/>
    </xf>
    <xf numFmtId="0" fontId="7" fillId="0" borderId="0" xfId="0" applyFont="1" applyFill="1" applyBorder="1" applyAlignment="1" applyProtection="1">
      <protection locked="0"/>
    </xf>
    <xf numFmtId="0" fontId="7" fillId="0" borderId="0" xfId="0" applyFont="1" applyFill="1" applyBorder="1" applyAlignment="1" applyProtection="1"/>
    <xf numFmtId="0" fontId="26" fillId="0" borderId="0" xfId="0" applyFont="1" applyProtection="1"/>
    <xf numFmtId="0" fontId="26" fillId="0" borderId="0" xfId="0" applyFont="1" applyProtection="1">
      <protection locked="0"/>
    </xf>
    <xf numFmtId="0" fontId="27" fillId="0" borderId="0" xfId="0" applyFont="1" applyAlignment="1" applyProtection="1">
      <alignment vertical="center" wrapText="1"/>
    </xf>
    <xf numFmtId="0" fontId="27" fillId="0" borderId="0" xfId="0" applyFont="1" applyAlignment="1" applyProtection="1">
      <alignment vertical="center" wrapText="1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Fill="1" applyBorder="1" applyProtection="1"/>
    <xf numFmtId="0" fontId="28" fillId="0" borderId="0" xfId="0" applyFont="1" applyFill="1" applyBorder="1" applyProtection="1"/>
    <xf numFmtId="0" fontId="29" fillId="0" borderId="0" xfId="0" applyFont="1" applyFill="1" applyBorder="1" applyProtection="1"/>
    <xf numFmtId="0" fontId="8" fillId="0" borderId="0" xfId="0" applyFont="1" applyFill="1" applyBorder="1" applyAlignment="1" applyProtection="1">
      <alignment horizontal="right"/>
    </xf>
    <xf numFmtId="0" fontId="22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 applyProtection="1">
      <alignment vertical="center"/>
    </xf>
    <xf numFmtId="0" fontId="23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  <protection locked="0"/>
    </xf>
    <xf numFmtId="14" fontId="31" fillId="0" borderId="0" xfId="0" applyNumberFormat="1" applyFont="1" applyFill="1" applyBorder="1" applyAlignment="1" applyProtection="1">
      <alignment vertical="center"/>
    </xf>
    <xf numFmtId="14" fontId="32" fillId="0" borderId="0" xfId="0" applyNumberFormat="1" applyFont="1" applyFill="1" applyBorder="1" applyAlignment="1" applyProtection="1"/>
    <xf numFmtId="0" fontId="31" fillId="0" borderId="0" xfId="0" applyFont="1" applyFill="1" applyBorder="1" applyAlignment="1" applyProtection="1">
      <alignment vertical="center"/>
    </xf>
    <xf numFmtId="0" fontId="32" fillId="0" borderId="0" xfId="0" applyFont="1" applyFill="1" applyBorder="1" applyAlignment="1" applyProtection="1"/>
    <xf numFmtId="0" fontId="26" fillId="0" borderId="0" xfId="0" applyFont="1"/>
    <xf numFmtId="0" fontId="19" fillId="10" borderId="22" xfId="0" applyFont="1" applyFill="1" applyBorder="1" applyAlignment="1">
      <alignment horizontal="center" vertical="center"/>
    </xf>
    <xf numFmtId="0" fontId="19" fillId="10" borderId="23" xfId="0" applyFont="1" applyFill="1" applyBorder="1" applyAlignment="1">
      <alignment horizontal="center" vertical="center"/>
    </xf>
    <xf numFmtId="0" fontId="1" fillId="0" borderId="24" xfId="0" applyNumberFormat="1" applyFont="1" applyBorder="1" applyAlignment="1" applyProtection="1">
      <alignment horizontal="center" vertical="center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33" fillId="10" borderId="26" xfId="0" applyFont="1" applyFill="1" applyBorder="1" applyAlignment="1">
      <alignment horizontal="center" vertical="center"/>
    </xf>
    <xf numFmtId="0" fontId="1" fillId="0" borderId="25" xfId="0" applyNumberFormat="1" applyFont="1" applyBorder="1" applyAlignment="1" applyProtection="1">
      <alignment horizontal="center" vertical="center"/>
      <protection locked="0"/>
    </xf>
    <xf numFmtId="0" fontId="39" fillId="0" borderId="12" xfId="0" applyFont="1" applyBorder="1" applyProtection="1"/>
    <xf numFmtId="0" fontId="39" fillId="0" borderId="0" xfId="0" applyFont="1" applyProtection="1"/>
    <xf numFmtId="0" fontId="39" fillId="0" borderId="0" xfId="0" applyFont="1" applyAlignment="1" applyProtection="1">
      <alignment horizontal="center"/>
    </xf>
    <xf numFmtId="14" fontId="38" fillId="9" borderId="35" xfId="0" applyNumberFormat="1" applyFont="1" applyFill="1" applyBorder="1" applyAlignment="1" applyProtection="1">
      <alignment horizontal="center" vertical="center"/>
    </xf>
    <xf numFmtId="0" fontId="37" fillId="0" borderId="35" xfId="0" applyFont="1" applyBorder="1" applyAlignment="1" applyProtection="1">
      <alignment horizontal="center" vertical="center"/>
    </xf>
    <xf numFmtId="0" fontId="45" fillId="9" borderId="0" xfId="0" applyNumberFormat="1" applyFont="1" applyFill="1" applyBorder="1" applyAlignment="1" applyProtection="1">
      <alignment horizontal="left" vertical="center"/>
      <protection locked="0"/>
    </xf>
    <xf numFmtId="0" fontId="45" fillId="9" borderId="12" xfId="0" applyNumberFormat="1" applyFont="1" applyFill="1" applyBorder="1" applyAlignment="1" applyProtection="1">
      <alignment horizontal="left" vertical="center"/>
      <protection locked="0"/>
    </xf>
    <xf numFmtId="0" fontId="45" fillId="9" borderId="0" xfId="0" applyNumberFormat="1" applyFont="1" applyFill="1" applyBorder="1" applyAlignment="1" applyProtection="1">
      <alignment vertical="center"/>
      <protection locked="0"/>
    </xf>
    <xf numFmtId="14" fontId="45" fillId="9" borderId="12" xfId="0" applyNumberFormat="1" applyFont="1" applyFill="1" applyBorder="1" applyAlignment="1" applyProtection="1">
      <alignment horizontal="left" vertical="center"/>
      <protection locked="0"/>
    </xf>
    <xf numFmtId="0" fontId="46" fillId="0" borderId="29" xfId="0" applyNumberFormat="1" applyFont="1" applyBorder="1" applyAlignment="1" applyProtection="1">
      <alignment horizontal="center" vertical="center"/>
      <protection locked="0"/>
    </xf>
    <xf numFmtId="0" fontId="46" fillId="0" borderId="31" xfId="0" applyNumberFormat="1" applyFont="1" applyBorder="1" applyAlignment="1" applyProtection="1">
      <alignment horizontal="center" vertical="center"/>
      <protection locked="0"/>
    </xf>
    <xf numFmtId="0" fontId="46" fillId="0" borderId="33" xfId="0" applyNumberFormat="1" applyFont="1" applyBorder="1" applyAlignment="1" applyProtection="1">
      <alignment horizontal="center" vertical="center"/>
      <protection locked="0"/>
    </xf>
    <xf numFmtId="0" fontId="46" fillId="0" borderId="20" xfId="0" applyNumberFormat="1" applyFont="1" applyBorder="1" applyAlignment="1" applyProtection="1">
      <alignment vertical="center"/>
    </xf>
    <xf numFmtId="0" fontId="46" fillId="0" borderId="21" xfId="0" applyNumberFormat="1" applyFont="1" applyBorder="1" applyAlignment="1" applyProtection="1">
      <alignment vertical="center"/>
    </xf>
    <xf numFmtId="0" fontId="47" fillId="12" borderId="17" xfId="0" applyFont="1" applyFill="1" applyBorder="1" applyAlignment="1">
      <alignment horizontal="center" vertical="center"/>
    </xf>
    <xf numFmtId="0" fontId="47" fillId="12" borderId="18" xfId="0" applyFont="1" applyFill="1" applyBorder="1" applyAlignment="1">
      <alignment horizontal="center" vertical="center"/>
    </xf>
    <xf numFmtId="0" fontId="48" fillId="12" borderId="19" xfId="0" applyFont="1" applyFill="1" applyBorder="1" applyAlignment="1" applyProtection="1">
      <alignment horizontal="center" vertical="center"/>
    </xf>
    <xf numFmtId="0" fontId="47" fillId="12" borderId="18" xfId="0" applyFont="1" applyFill="1" applyBorder="1" applyAlignment="1" applyProtection="1">
      <alignment horizontal="center" vertical="center"/>
    </xf>
    <xf numFmtId="0" fontId="49" fillId="0" borderId="12" xfId="0" applyFont="1" applyBorder="1" applyProtection="1"/>
    <xf numFmtId="0" fontId="47" fillId="12" borderId="34" xfId="0" applyFont="1" applyFill="1" applyBorder="1" applyAlignment="1" applyProtection="1">
      <alignment horizontal="center" vertical="center"/>
    </xf>
    <xf numFmtId="0" fontId="47" fillId="7" borderId="16" xfId="0" applyNumberFormat="1" applyFont="1" applyFill="1" applyBorder="1" applyAlignment="1">
      <alignment horizontal="center" vertical="center"/>
    </xf>
    <xf numFmtId="0" fontId="50" fillId="8" borderId="0" xfId="0" applyFont="1" applyFill="1" applyBorder="1" applyAlignment="1" applyProtection="1"/>
    <xf numFmtId="0" fontId="51" fillId="8" borderId="0" xfId="0" applyFont="1" applyFill="1" applyBorder="1" applyAlignment="1" applyProtection="1">
      <alignment horizontal="center" vertical="center"/>
    </xf>
    <xf numFmtId="0" fontId="52" fillId="8" borderId="0" xfId="0" applyFont="1" applyFill="1" applyBorder="1" applyAlignment="1" applyProtection="1">
      <alignment vertical="center"/>
    </xf>
    <xf numFmtId="0" fontId="39" fillId="9" borderId="0" xfId="0" applyFont="1" applyFill="1" applyBorder="1" applyProtection="1">
      <protection locked="0"/>
    </xf>
    <xf numFmtId="0" fontId="39" fillId="0" borderId="0" xfId="0" applyFont="1" applyBorder="1" applyProtection="1">
      <protection locked="0"/>
    </xf>
    <xf numFmtId="0" fontId="47" fillId="7" borderId="0" xfId="0" applyFont="1" applyFill="1" applyBorder="1" applyAlignment="1" applyProtection="1">
      <alignment horizontal="right" vertical="center"/>
    </xf>
    <xf numFmtId="0" fontId="53" fillId="8" borderId="0" xfId="0" applyFont="1" applyFill="1" applyBorder="1" applyAlignment="1" applyProtection="1">
      <alignment vertical="center"/>
    </xf>
    <xf numFmtId="14" fontId="50" fillId="8" borderId="0" xfId="0" applyNumberFormat="1" applyFont="1" applyFill="1" applyBorder="1" applyAlignment="1" applyProtection="1">
      <alignment horizontal="center" vertical="top"/>
    </xf>
    <xf numFmtId="0" fontId="50" fillId="8" borderId="0" xfId="0" applyFont="1" applyFill="1" applyBorder="1" applyAlignment="1" applyProtection="1">
      <alignment horizontal="center" vertical="top"/>
    </xf>
    <xf numFmtId="0" fontId="50" fillId="8" borderId="0" xfId="0" applyFont="1" applyFill="1" applyBorder="1" applyAlignment="1" applyProtection="1">
      <alignment vertical="center"/>
    </xf>
    <xf numFmtId="0" fontId="53" fillId="8" borderId="0" xfId="0" applyFont="1" applyFill="1" applyBorder="1" applyAlignment="1" applyProtection="1">
      <alignment horizontal="center"/>
    </xf>
    <xf numFmtId="0" fontId="42" fillId="5" borderId="0" xfId="0" applyFont="1" applyFill="1" applyBorder="1" applyAlignment="1" applyProtection="1">
      <alignment vertical="center"/>
    </xf>
    <xf numFmtId="0" fontId="42" fillId="5" borderId="0" xfId="0" quotePrefix="1" applyFont="1" applyFill="1" applyBorder="1" applyAlignment="1" applyProtection="1">
      <alignment vertical="center"/>
    </xf>
    <xf numFmtId="0" fontId="53" fillId="8" borderId="0" xfId="0" applyFont="1" applyFill="1" applyBorder="1" applyAlignment="1" applyProtection="1">
      <alignment horizontal="right" vertical="center"/>
    </xf>
    <xf numFmtId="0" fontId="50" fillId="8" borderId="0" xfId="0" applyFont="1" applyFill="1" applyBorder="1" applyAlignment="1" applyProtection="1">
      <alignment horizontal="center" vertical="center"/>
    </xf>
    <xf numFmtId="14" fontId="50" fillId="8" borderId="0" xfId="0" applyNumberFormat="1" applyFont="1" applyFill="1" applyBorder="1" applyAlignment="1" applyProtection="1">
      <alignment horizontal="center" vertical="center"/>
    </xf>
    <xf numFmtId="0" fontId="56" fillId="8" borderId="0" xfId="0" applyFont="1" applyFill="1" applyBorder="1" applyAlignment="1" applyProtection="1">
      <alignment horizontal="center" vertical="center"/>
    </xf>
    <xf numFmtId="49" fontId="46" fillId="0" borderId="28" xfId="0" applyNumberFormat="1" applyFont="1" applyBorder="1" applyAlignment="1" applyProtection="1">
      <alignment horizontal="center" vertical="center"/>
      <protection locked="0"/>
    </xf>
    <xf numFmtId="49" fontId="46" fillId="0" borderId="30" xfId="0" applyNumberFormat="1" applyFont="1" applyBorder="1" applyAlignment="1" applyProtection="1">
      <alignment horizontal="center" vertical="center"/>
      <protection locked="0"/>
    </xf>
    <xf numFmtId="49" fontId="46" fillId="0" borderId="32" xfId="0" applyNumberFormat="1" applyFont="1" applyBorder="1" applyAlignment="1" applyProtection="1">
      <alignment vertical="center"/>
      <protection locked="0"/>
    </xf>
    <xf numFmtId="0" fontId="50" fillId="8" borderId="0" xfId="0" applyFont="1" applyFill="1" applyBorder="1" applyAlignment="1" applyProtection="1">
      <alignment horizontal="center"/>
    </xf>
    <xf numFmtId="0" fontId="1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vertical="top"/>
      <protection locked="0"/>
    </xf>
    <xf numFmtId="0" fontId="57" fillId="0" borderId="70" xfId="0" applyFont="1" applyBorder="1" applyAlignment="1" applyProtection="1">
      <alignment horizontal="center" vertical="center" wrapText="1"/>
      <protection locked="0"/>
    </xf>
    <xf numFmtId="0" fontId="57" fillId="0" borderId="70" xfId="0" applyFont="1" applyBorder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 vertical="top"/>
      <protection locked="0"/>
    </xf>
    <xf numFmtId="0" fontId="3" fillId="0" borderId="0" xfId="0" quotePrefix="1" applyFont="1" applyAlignment="1" applyProtection="1">
      <alignment horizontal="center" vertical="top"/>
      <protection locked="0"/>
    </xf>
    <xf numFmtId="0" fontId="63" fillId="0" borderId="0" xfId="0" applyFont="1" applyAlignment="1" applyProtection="1">
      <alignment horizontal="center"/>
    </xf>
    <xf numFmtId="0" fontId="63" fillId="0" borderId="0" xfId="0" quotePrefix="1" applyFont="1" applyAlignment="1" applyProtection="1">
      <alignment horizontal="center" vertical="top"/>
      <protection locked="0"/>
    </xf>
    <xf numFmtId="0" fontId="1" fillId="0" borderId="0" xfId="0" applyFont="1" applyProtection="1"/>
    <xf numFmtId="0" fontId="47" fillId="12" borderId="58" xfId="0" applyFont="1" applyFill="1" applyBorder="1" applyAlignment="1" applyProtection="1">
      <alignment vertical="center"/>
    </xf>
    <xf numFmtId="0" fontId="46" fillId="0" borderId="60" xfId="0" applyNumberFormat="1" applyFont="1" applyBorder="1" applyAlignment="1" applyProtection="1">
      <alignment vertical="center"/>
    </xf>
    <xf numFmtId="0" fontId="46" fillId="0" borderId="59" xfId="0" applyNumberFormat="1" applyFont="1" applyBorder="1" applyAlignment="1" applyProtection="1">
      <alignment vertical="center"/>
    </xf>
    <xf numFmtId="0" fontId="46" fillId="0" borderId="75" xfId="0" applyNumberFormat="1" applyFont="1" applyBorder="1" applyAlignment="1" applyProtection="1">
      <alignment vertical="center"/>
    </xf>
    <xf numFmtId="0" fontId="46" fillId="0" borderId="76" xfId="0" applyFont="1" applyBorder="1" applyAlignment="1" applyProtection="1">
      <alignment vertical="center"/>
    </xf>
    <xf numFmtId="0" fontId="59" fillId="16" borderId="70" xfId="0" applyFont="1" applyFill="1" applyBorder="1" applyAlignment="1" applyProtection="1">
      <alignment horizontal="left" vertical="center" wrapText="1"/>
    </xf>
    <xf numFmtId="0" fontId="16" fillId="0" borderId="0" xfId="0" applyFont="1" applyBorder="1" applyAlignment="1">
      <alignment vertical="center" wrapText="1"/>
    </xf>
    <xf numFmtId="0" fontId="0" fillId="0" borderId="0" xfId="0" applyBorder="1" applyAlignment="1"/>
    <xf numFmtId="0" fontId="16" fillId="0" borderId="0" xfId="0" applyFont="1" applyBorder="1" applyAlignment="1">
      <alignment vertical="center" wrapText="1"/>
    </xf>
    <xf numFmtId="0" fontId="0" fillId="0" borderId="0" xfId="0" applyBorder="1" applyAlignment="1"/>
    <xf numFmtId="0" fontId="0" fillId="0" borderId="5" xfId="0" applyBorder="1" applyAlignment="1"/>
    <xf numFmtId="0" fontId="26" fillId="0" borderId="0" xfId="0" applyFont="1" applyFill="1" applyProtection="1">
      <protection locked="0"/>
    </xf>
    <xf numFmtId="0" fontId="27" fillId="8" borderId="0" xfId="0" applyFont="1" applyFill="1" applyAlignment="1" applyProtection="1">
      <alignment vertical="center" wrapText="1"/>
      <protection locked="0"/>
    </xf>
    <xf numFmtId="0" fontId="62" fillId="8" borderId="0" xfId="0" applyFont="1" applyFill="1" applyBorder="1" applyAlignment="1" applyProtection="1">
      <protection locked="0"/>
    </xf>
    <xf numFmtId="0" fontId="26" fillId="8" borderId="0" xfId="0" applyFont="1" applyFill="1" applyBorder="1" applyAlignment="1" applyProtection="1">
      <protection locked="0"/>
    </xf>
    <xf numFmtId="0" fontId="16" fillId="0" borderId="5" xfId="0" applyFont="1" applyBorder="1" applyAlignment="1">
      <alignment vertical="center" wrapText="1"/>
    </xf>
    <xf numFmtId="0" fontId="16" fillId="0" borderId="7" xfId="0" applyFont="1" applyBorder="1" applyAlignment="1">
      <alignment vertical="center" wrapText="1"/>
    </xf>
    <xf numFmtId="0" fontId="16" fillId="0" borderId="8" xfId="0" applyFont="1" applyBorder="1" applyAlignment="1">
      <alignment vertical="center" wrapText="1"/>
    </xf>
    <xf numFmtId="0" fontId="16" fillId="0" borderId="9" xfId="0" applyFont="1" applyBorder="1" applyAlignment="1">
      <alignment vertical="center" wrapText="1"/>
    </xf>
    <xf numFmtId="0" fontId="26" fillId="0" borderId="0" xfId="0" applyFont="1" applyFill="1"/>
    <xf numFmtId="0" fontId="50" fillId="8" borderId="0" xfId="0" applyFont="1" applyFill="1" applyBorder="1" applyAlignment="1" applyProtection="1"/>
    <xf numFmtId="0" fontId="39" fillId="9" borderId="0" xfId="0" applyFont="1" applyFill="1" applyBorder="1" applyAlignment="1" applyProtection="1">
      <protection locked="0"/>
    </xf>
    <xf numFmtId="0" fontId="59" fillId="15" borderId="72" xfId="0" applyFont="1" applyFill="1" applyBorder="1" applyAlignment="1" applyProtection="1">
      <alignment vertical="center"/>
    </xf>
    <xf numFmtId="0" fontId="59" fillId="15" borderId="77" xfId="0" applyFont="1" applyFill="1" applyBorder="1" applyAlignment="1" applyProtection="1">
      <alignment vertical="center"/>
    </xf>
    <xf numFmtId="0" fontId="61" fillId="15" borderId="77" xfId="0" applyFont="1" applyFill="1" applyBorder="1" applyAlignment="1" applyProtection="1">
      <alignment vertical="center"/>
    </xf>
    <xf numFmtId="0" fontId="61" fillId="0" borderId="85" xfId="0" applyFont="1" applyBorder="1" applyAlignment="1" applyProtection="1">
      <alignment vertical="center"/>
    </xf>
    <xf numFmtId="0" fontId="61" fillId="0" borderId="71" xfId="0" applyFont="1" applyBorder="1" applyAlignment="1" applyProtection="1">
      <alignment vertical="center" wrapText="1"/>
    </xf>
    <xf numFmtId="0" fontId="61" fillId="15" borderId="78" xfId="0" applyFont="1" applyFill="1" applyBorder="1" applyAlignment="1" applyProtection="1">
      <alignment vertical="center"/>
    </xf>
    <xf numFmtId="0" fontId="61" fillId="15" borderId="77" xfId="0" applyFont="1" applyFill="1" applyBorder="1" applyAlignment="1" applyProtection="1">
      <alignment horizontal="left" vertical="center"/>
    </xf>
    <xf numFmtId="0" fontId="61" fillId="15" borderId="78" xfId="0" applyFont="1" applyFill="1" applyBorder="1" applyAlignment="1" applyProtection="1">
      <alignment horizontal="left" vertical="center"/>
    </xf>
    <xf numFmtId="0" fontId="59" fillId="15" borderId="78" xfId="0" applyFont="1" applyFill="1" applyBorder="1" applyAlignment="1" applyProtection="1">
      <alignment vertical="center"/>
    </xf>
    <xf numFmtId="0" fontId="58" fillId="15" borderId="72" xfId="0" applyFont="1" applyFill="1" applyBorder="1" applyAlignment="1" applyProtection="1">
      <alignment vertical="center"/>
    </xf>
    <xf numFmtId="0" fontId="58" fillId="0" borderId="85" xfId="0" applyFont="1" applyBorder="1" applyAlignment="1" applyProtection="1">
      <alignment vertical="center"/>
    </xf>
    <xf numFmtId="0" fontId="64" fillId="0" borderId="70" xfId="0" applyFont="1" applyFill="1" applyBorder="1" applyAlignment="1" applyProtection="1">
      <alignment vertical="center" wrapText="1"/>
      <protection locked="0"/>
    </xf>
    <xf numFmtId="0" fontId="7" fillId="0" borderId="0" xfId="0" applyFont="1" applyFill="1" applyBorder="1" applyProtection="1">
      <protection locked="0"/>
    </xf>
    <xf numFmtId="0" fontId="59" fillId="0" borderId="0" xfId="0" applyFont="1" applyFill="1" applyBorder="1" applyAlignment="1" applyProtection="1">
      <alignment horizontal="left" vertical="center" wrapText="1"/>
    </xf>
    <xf numFmtId="0" fontId="1" fillId="0" borderId="0" xfId="21" applyFill="1" applyBorder="1" applyAlignment="1" applyProtection="1">
      <alignment vertical="center" wrapText="1"/>
      <protection locked="0"/>
    </xf>
    <xf numFmtId="0" fontId="16" fillId="0" borderId="0" xfId="0" applyFont="1" applyBorder="1" applyAlignment="1">
      <alignment vertical="center" wrapText="1"/>
    </xf>
    <xf numFmtId="20" fontId="0" fillId="0" borderId="0" xfId="0" applyNumberFormat="1"/>
    <xf numFmtId="0" fontId="1" fillId="0" borderId="0" xfId="0" applyFont="1"/>
    <xf numFmtId="172" fontId="1" fillId="0" borderId="0" xfId="0" applyNumberFormat="1" applyFont="1"/>
    <xf numFmtId="172" fontId="0" fillId="0" borderId="0" xfId="0" applyNumberFormat="1"/>
    <xf numFmtId="0" fontId="66" fillId="0" borderId="0" xfId="0" applyFont="1" applyFill="1" applyBorder="1" applyAlignment="1">
      <alignment horizontal="left" vertical="center" wrapText="1" readingOrder="1"/>
    </xf>
    <xf numFmtId="0" fontId="67" fillId="0" borderId="0" xfId="0" applyFont="1" applyFill="1" applyBorder="1" applyAlignment="1">
      <alignment horizontal="center" vertical="center" wrapText="1" readingOrder="1"/>
    </xf>
    <xf numFmtId="0" fontId="67" fillId="0" borderId="0" xfId="0" applyFont="1" applyFill="1" applyBorder="1" applyAlignment="1">
      <alignment horizontal="left" vertical="center" wrapText="1" indent="1" readingOrder="1"/>
    </xf>
    <xf numFmtId="0" fontId="67" fillId="0" borderId="0" xfId="0" applyFont="1" applyFill="1" applyBorder="1" applyAlignment="1">
      <alignment horizontal="left" vertical="center" wrapText="1" readingOrder="1"/>
    </xf>
    <xf numFmtId="0" fontId="70" fillId="17" borderId="79" xfId="0" applyFont="1" applyFill="1" applyBorder="1" applyAlignment="1">
      <alignment horizontal="center" vertical="center" wrapText="1" readingOrder="1"/>
    </xf>
    <xf numFmtId="0" fontId="66" fillId="19" borderId="82" xfId="0" applyFont="1" applyFill="1" applyBorder="1" applyAlignment="1">
      <alignment horizontal="left" vertical="top" wrapText="1" readingOrder="1"/>
    </xf>
    <xf numFmtId="0" fontId="66" fillId="18" borderId="81" xfId="0" applyFont="1" applyFill="1" applyBorder="1" applyAlignment="1">
      <alignment horizontal="left" vertical="top" wrapText="1" readingOrder="1"/>
    </xf>
    <xf numFmtId="0" fontId="66" fillId="18" borderId="82" xfId="0" applyFont="1" applyFill="1" applyBorder="1" applyAlignment="1">
      <alignment horizontal="left" vertical="top" wrapText="1" readingOrder="1"/>
    </xf>
    <xf numFmtId="0" fontId="65" fillId="19" borderId="79" xfId="0" applyFont="1" applyFill="1" applyBorder="1" applyAlignment="1">
      <alignment horizontal="left" wrapText="1" readingOrder="1"/>
    </xf>
    <xf numFmtId="0" fontId="65" fillId="18" borderId="80" xfId="0" applyFont="1" applyFill="1" applyBorder="1" applyAlignment="1">
      <alignment horizontal="left" wrapText="1" readingOrder="1"/>
    </xf>
    <xf numFmtId="0" fontId="65" fillId="18" borderId="79" xfId="0" applyFont="1" applyFill="1" applyBorder="1" applyAlignment="1">
      <alignment horizontal="left" wrapText="1" readingOrder="1"/>
    </xf>
    <xf numFmtId="0" fontId="1" fillId="0" borderId="70" xfId="21" applyFill="1" applyBorder="1" applyAlignment="1" applyProtection="1">
      <alignment vertical="center"/>
      <protection locked="0"/>
    </xf>
    <xf numFmtId="172" fontId="1" fillId="0" borderId="70" xfId="21" applyNumberFormat="1" applyFill="1" applyBorder="1" applyAlignment="1" applyProtection="1">
      <alignment vertical="center" wrapText="1"/>
      <protection locked="0"/>
    </xf>
    <xf numFmtId="173" fontId="46" fillId="0" borderId="59" xfId="0" applyNumberFormat="1" applyFont="1" applyBorder="1" applyAlignment="1" applyProtection="1">
      <alignment vertical="center"/>
    </xf>
    <xf numFmtId="173" fontId="46" fillId="0" borderId="75" xfId="0" applyNumberFormat="1" applyFont="1" applyBorder="1" applyAlignment="1" applyProtection="1">
      <alignment vertical="center"/>
    </xf>
    <xf numFmtId="173" fontId="1" fillId="0" borderId="70" xfId="21" applyNumberFormat="1" applyFill="1" applyBorder="1" applyAlignment="1" applyProtection="1">
      <alignment vertical="center" wrapText="1"/>
      <protection locked="0"/>
    </xf>
    <xf numFmtId="0" fontId="72" fillId="0" borderId="0" xfId="0" applyFont="1" applyBorder="1" applyProtection="1">
      <protection locked="0"/>
    </xf>
    <xf numFmtId="0" fontId="57" fillId="20" borderId="70" xfId="0" applyFont="1" applyFill="1" applyBorder="1" applyAlignment="1" applyProtection="1">
      <alignment horizontal="center" vertical="center" wrapText="1"/>
      <protection locked="0"/>
    </xf>
    <xf numFmtId="0" fontId="57" fillId="20" borderId="70" xfId="0" applyFont="1" applyFill="1" applyBorder="1" applyAlignment="1" applyProtection="1">
      <alignment horizontal="left" vertical="center" wrapText="1"/>
      <protection locked="0"/>
    </xf>
    <xf numFmtId="14" fontId="46" fillId="9" borderId="65" xfId="0" applyNumberFormat="1" applyFont="1" applyFill="1" applyBorder="1" applyAlignment="1" applyProtection="1">
      <alignment horizontal="center" vertical="center"/>
    </xf>
    <xf numFmtId="14" fontId="46" fillId="9" borderId="66" xfId="0" applyNumberFormat="1" applyFont="1" applyFill="1" applyBorder="1" applyAlignment="1" applyProtection="1">
      <alignment horizontal="center" vertical="center"/>
    </xf>
    <xf numFmtId="14" fontId="46" fillId="9" borderId="74" xfId="0" applyNumberFormat="1" applyFont="1" applyFill="1" applyBorder="1" applyAlignment="1" applyProtection="1">
      <alignment horizontal="center" vertical="center"/>
    </xf>
    <xf numFmtId="0" fontId="46" fillId="0" borderId="88" xfId="0" applyNumberFormat="1" applyFont="1" applyFill="1" applyBorder="1" applyAlignment="1" applyProtection="1"/>
    <xf numFmtId="0" fontId="1" fillId="0" borderId="70" xfId="21" applyFill="1" applyBorder="1" applyAlignment="1" applyProtection="1">
      <alignment vertical="center" wrapText="1"/>
      <protection locked="0"/>
    </xf>
    <xf numFmtId="14" fontId="47" fillId="10" borderId="14" xfId="0" applyNumberFormat="1" applyFont="1" applyFill="1" applyBorder="1" applyAlignment="1" applyProtection="1">
      <alignment horizontal="center" vertical="center"/>
    </xf>
    <xf numFmtId="0" fontId="47" fillId="12" borderId="61" xfId="0" applyFont="1" applyFill="1" applyBorder="1" applyAlignment="1" applyProtection="1">
      <alignment horizontal="center" vertical="center"/>
    </xf>
    <xf numFmtId="0" fontId="39" fillId="0" borderId="35" xfId="0" applyNumberFormat="1" applyFont="1" applyFill="1" applyBorder="1" applyAlignment="1" applyProtection="1">
      <alignment horizontal="center"/>
    </xf>
    <xf numFmtId="0" fontId="39" fillId="0" borderId="47" xfId="0" applyFont="1" applyFill="1" applyBorder="1" applyAlignment="1"/>
    <xf numFmtId="0" fontId="47" fillId="10" borderId="73" xfId="0" applyFont="1" applyFill="1" applyBorder="1" applyAlignment="1" applyProtection="1">
      <alignment horizontal="center" vertical="center"/>
    </xf>
    <xf numFmtId="14" fontId="47" fillId="10" borderId="27" xfId="0" applyNumberFormat="1" applyFont="1" applyFill="1" applyBorder="1" applyAlignment="1" applyProtection="1">
      <alignment horizontal="center" vertical="center"/>
    </xf>
    <xf numFmtId="0" fontId="37" fillId="0" borderId="0" xfId="0" applyFont="1" applyFill="1" applyBorder="1" applyAlignment="1" applyProtection="1"/>
    <xf numFmtId="0" fontId="42" fillId="5" borderId="0" xfId="0" applyFont="1" applyFill="1" applyBorder="1" applyAlignment="1" applyProtection="1">
      <alignment horizontal="left" vertical="center"/>
    </xf>
    <xf numFmtId="0" fontId="59" fillId="22" borderId="70" xfId="0" applyFont="1" applyFill="1" applyBorder="1" applyAlignment="1" applyProtection="1">
      <alignment horizontal="center" vertical="center" wrapText="1"/>
    </xf>
    <xf numFmtId="0" fontId="62" fillId="22" borderId="70" xfId="0" applyFont="1" applyFill="1" applyBorder="1" applyAlignment="1" applyProtection="1">
      <alignment horizontal="center" vertical="center" wrapText="1"/>
    </xf>
    <xf numFmtId="0" fontId="59" fillId="22" borderId="70" xfId="0" applyFont="1" applyFill="1" applyBorder="1" applyAlignment="1" applyProtection="1">
      <alignment horizontal="center" vertical="center"/>
    </xf>
    <xf numFmtId="0" fontId="59" fillId="9" borderId="70" xfId="0" applyFont="1" applyFill="1" applyBorder="1" applyAlignment="1" applyProtection="1">
      <alignment horizontal="center" vertical="center" wrapText="1"/>
    </xf>
    <xf numFmtId="0" fontId="59" fillId="9" borderId="70" xfId="0" applyFont="1" applyFill="1" applyBorder="1" applyAlignment="1" applyProtection="1">
      <alignment horizontal="center" vertical="center"/>
    </xf>
    <xf numFmtId="0" fontId="74" fillId="8" borderId="0" xfId="0" applyFont="1" applyFill="1" applyBorder="1" applyAlignment="1" applyProtection="1">
      <alignment horizontal="right"/>
      <protection locked="0"/>
    </xf>
    <xf numFmtId="0" fontId="37" fillId="0" borderId="0" xfId="0" applyFont="1" applyFill="1" applyBorder="1" applyAlignment="1" applyProtection="1">
      <alignment horizontal="right" vertical="center"/>
    </xf>
    <xf numFmtId="0" fontId="26" fillId="0" borderId="0" xfId="0" applyFont="1" applyFill="1" applyAlignment="1" applyProtection="1">
      <alignment horizontal="right" vertical="center"/>
      <protection locked="0"/>
    </xf>
    <xf numFmtId="0" fontId="26" fillId="10" borderId="0" xfId="0" applyFont="1" applyFill="1" applyProtection="1">
      <protection locked="0"/>
    </xf>
    <xf numFmtId="0" fontId="42" fillId="5" borderId="0" xfId="0" quotePrefix="1" applyFont="1" applyFill="1" applyBorder="1" applyAlignment="1" applyProtection="1">
      <alignment horizontal="left"/>
    </xf>
    <xf numFmtId="0" fontId="26" fillId="0" borderId="0" xfId="0" applyFont="1" applyFill="1" applyAlignment="1" applyProtection="1">
      <alignment horizontal="left"/>
      <protection locked="0"/>
    </xf>
    <xf numFmtId="0" fontId="42" fillId="5" borderId="0" xfId="0" applyFont="1" applyFill="1" applyBorder="1" applyAlignment="1" applyProtection="1">
      <alignment horizontal="left"/>
    </xf>
    <xf numFmtId="0" fontId="42" fillId="10" borderId="0" xfId="0" applyFont="1" applyFill="1" applyBorder="1" applyAlignment="1" applyProtection="1">
      <alignment horizontal="left" vertical="center"/>
    </xf>
    <xf numFmtId="0" fontId="42" fillId="10" borderId="0" xfId="0" applyFont="1" applyFill="1" applyBorder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</xf>
    <xf numFmtId="0" fontId="61" fillId="0" borderId="0" xfId="0" applyFont="1" applyFill="1" applyBorder="1" applyAlignment="1" applyProtection="1">
      <alignment vertical="center"/>
    </xf>
    <xf numFmtId="0" fontId="61" fillId="15" borderId="84" xfId="0" applyFont="1" applyFill="1" applyBorder="1" applyAlignment="1" applyProtection="1">
      <alignment vertical="center" wrapText="1"/>
    </xf>
    <xf numFmtId="0" fontId="61" fillId="15" borderId="86" xfId="0" applyFont="1" applyFill="1" applyBorder="1" applyAlignment="1" applyProtection="1">
      <alignment vertical="center" wrapText="1"/>
    </xf>
    <xf numFmtId="0" fontId="61" fillId="15" borderId="77" xfId="0" applyFont="1" applyFill="1" applyBorder="1" applyAlignment="1" applyProtection="1">
      <alignment vertical="center" wrapText="1"/>
    </xf>
    <xf numFmtId="0" fontId="61" fillId="15" borderId="78" xfId="0" applyFont="1" applyFill="1" applyBorder="1" applyAlignment="1" applyProtection="1">
      <alignment vertical="center" wrapText="1"/>
    </xf>
    <xf numFmtId="0" fontId="61" fillId="15" borderId="0" xfId="0" applyFont="1" applyFill="1" applyBorder="1" applyAlignment="1" applyProtection="1">
      <alignment vertical="center" wrapText="1"/>
    </xf>
    <xf numFmtId="0" fontId="61" fillId="15" borderId="87" xfId="0" applyFont="1" applyFill="1" applyBorder="1" applyAlignment="1" applyProtection="1">
      <alignment vertical="center" wrapText="1"/>
    </xf>
    <xf numFmtId="0" fontId="61" fillId="0" borderId="0" xfId="0" applyFont="1" applyFill="1" applyBorder="1" applyAlignment="1" applyProtection="1">
      <alignment vertical="center" wrapText="1"/>
    </xf>
    <xf numFmtId="0" fontId="61" fillId="0" borderId="0" xfId="0" applyFont="1" applyFill="1" applyBorder="1" applyAlignment="1" applyProtection="1">
      <alignment horizontal="left" vertical="center"/>
    </xf>
    <xf numFmtId="0" fontId="61" fillId="15" borderId="71" xfId="0" applyFont="1" applyFill="1" applyBorder="1" applyAlignment="1" applyProtection="1">
      <alignment vertical="center"/>
    </xf>
    <xf numFmtId="0" fontId="61" fillId="15" borderId="72" xfId="0" applyFont="1" applyFill="1" applyBorder="1" applyAlignment="1" applyProtection="1">
      <alignment vertical="center"/>
    </xf>
    <xf numFmtId="0" fontId="61" fillId="15" borderId="85" xfId="0" applyFont="1" applyFill="1" applyBorder="1" applyAlignment="1" applyProtection="1">
      <alignment vertical="center"/>
    </xf>
    <xf numFmtId="0" fontId="0" fillId="0" borderId="24" xfId="0" applyNumberFormat="1" applyBorder="1" applyAlignment="1" applyProtection="1">
      <alignment horizontal="center" vertical="center" wrapText="1"/>
      <protection locked="0"/>
    </xf>
    <xf numFmtId="1" fontId="41" fillId="0" borderId="57" xfId="0" applyNumberFormat="1" applyFont="1" applyFill="1" applyBorder="1" applyAlignment="1" applyProtection="1"/>
    <xf numFmtId="0" fontId="39" fillId="0" borderId="0" xfId="0" applyFont="1" applyBorder="1"/>
    <xf numFmtId="0" fontId="26" fillId="0" borderId="0" xfId="0" applyFont="1" applyBorder="1"/>
    <xf numFmtId="0" fontId="37" fillId="14" borderId="46" xfId="0" applyFont="1" applyFill="1" applyBorder="1"/>
    <xf numFmtId="1" fontId="41" fillId="0" borderId="0" xfId="0" applyNumberFormat="1" applyFont="1" applyFill="1" applyBorder="1" applyAlignment="1" applyProtection="1"/>
    <xf numFmtId="0" fontId="26" fillId="0" borderId="0" xfId="0" applyFont="1" applyBorder="1" applyProtection="1"/>
    <xf numFmtId="0" fontId="47" fillId="12" borderId="58" xfId="0" applyFont="1" applyFill="1" applyBorder="1" applyAlignment="1" applyProtection="1">
      <alignment vertical="center" wrapText="1"/>
    </xf>
    <xf numFmtId="0" fontId="60" fillId="0" borderId="70" xfId="0" applyFont="1" applyBorder="1" applyAlignment="1" applyProtection="1">
      <alignment horizontal="center" vertical="center"/>
      <protection locked="0"/>
    </xf>
    <xf numFmtId="172" fontId="1" fillId="20" borderId="70" xfId="0" applyNumberFormat="1" applyFont="1" applyFill="1" applyBorder="1" applyProtection="1">
      <protection locked="0"/>
    </xf>
    <xf numFmtId="0" fontId="57" fillId="0" borderId="70" xfId="0" applyFont="1" applyFill="1" applyBorder="1" applyAlignment="1" applyProtection="1">
      <alignment horizontal="center" vertical="center" wrapText="1"/>
      <protection locked="0"/>
    </xf>
    <xf numFmtId="0" fontId="57" fillId="0" borderId="70" xfId="0" applyFont="1" applyFill="1" applyBorder="1" applyAlignment="1" applyProtection="1">
      <alignment horizontal="left" vertical="center" wrapText="1"/>
      <protection locked="0"/>
    </xf>
    <xf numFmtId="172" fontId="1" fillId="0" borderId="70" xfId="0" applyNumberFormat="1" applyFont="1" applyFill="1" applyBorder="1" applyProtection="1">
      <protection locked="0"/>
    </xf>
    <xf numFmtId="0" fontId="16" fillId="0" borderId="0" xfId="0" applyFont="1" applyBorder="1" applyAlignment="1">
      <alignment vertical="center" wrapText="1"/>
    </xf>
    <xf numFmtId="0" fontId="76" fillId="0" borderId="0" xfId="0" applyFont="1" applyBorder="1" applyProtection="1">
      <protection locked="0"/>
    </xf>
    <xf numFmtId="0" fontId="67" fillId="18" borderId="80" xfId="0" applyFont="1" applyFill="1" applyBorder="1" applyAlignment="1">
      <alignment horizontal="center" vertical="center" wrapText="1" readingOrder="1"/>
    </xf>
    <xf numFmtId="0" fontId="67" fillId="18" borderId="82" xfId="0" applyFont="1" applyFill="1" applyBorder="1" applyAlignment="1">
      <alignment horizontal="center" vertical="center" wrapText="1" readingOrder="1"/>
    </xf>
    <xf numFmtId="0" fontId="67" fillId="19" borderId="79" xfId="0" applyFont="1" applyFill="1" applyBorder="1" applyAlignment="1">
      <alignment horizontal="center" vertical="center" wrapText="1" readingOrder="1"/>
    </xf>
    <xf numFmtId="0" fontId="67" fillId="19" borderId="82" xfId="0" applyFont="1" applyFill="1" applyBorder="1" applyAlignment="1">
      <alignment horizontal="center" vertical="center" wrapText="1" readingOrder="1"/>
    </xf>
    <xf numFmtId="0" fontId="67" fillId="18" borderId="79" xfId="0" applyFont="1" applyFill="1" applyBorder="1" applyAlignment="1">
      <alignment horizontal="center" vertical="center" wrapText="1" readingOrder="1"/>
    </xf>
    <xf numFmtId="0" fontId="67" fillId="18" borderId="81" xfId="0" applyFont="1" applyFill="1" applyBorder="1" applyAlignment="1">
      <alignment horizontal="center" vertical="center" wrapText="1" readingOrder="1"/>
    </xf>
    <xf numFmtId="0" fontId="7" fillId="8" borderId="38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10" borderId="40" xfId="0" applyFont="1" applyFill="1" applyBorder="1" applyAlignment="1"/>
    <xf numFmtId="0" fontId="7" fillId="10" borderId="41" xfId="0" applyFont="1" applyFill="1" applyBorder="1" applyAlignment="1"/>
    <xf numFmtId="0" fontId="55" fillId="8" borderId="39" xfId="0" applyNumberFormat="1" applyFont="1" applyFill="1" applyBorder="1" applyAlignment="1">
      <alignment horizontal="center" vertical="center"/>
    </xf>
    <xf numFmtId="0" fontId="55" fillId="8" borderId="37" xfId="0" applyNumberFormat="1" applyFont="1" applyFill="1" applyBorder="1" applyAlignment="1">
      <alignment horizontal="center" vertical="center"/>
    </xf>
    <xf numFmtId="0" fontId="55" fillId="8" borderId="0" xfId="0" applyNumberFormat="1" applyFont="1" applyFill="1" applyBorder="1" applyAlignment="1">
      <alignment horizontal="center" vertical="center"/>
    </xf>
    <xf numFmtId="0" fontId="55" fillId="8" borderId="5" xfId="0" applyNumberFormat="1" applyFont="1" applyFill="1" applyBorder="1" applyAlignment="1">
      <alignment horizontal="center" vertical="center"/>
    </xf>
    <xf numFmtId="0" fontId="1" fillId="0" borderId="43" xfId="0" applyNumberFormat="1" applyFont="1" applyBorder="1" applyAlignment="1" applyProtection="1">
      <alignment vertical="center"/>
      <protection locked="0"/>
    </xf>
    <xf numFmtId="0" fontId="0" fillId="0" borderId="44" xfId="0" applyNumberFormat="1" applyBorder="1" applyAlignment="1" applyProtection="1">
      <alignment vertical="center"/>
      <protection locked="0"/>
    </xf>
    <xf numFmtId="0" fontId="0" fillId="0" borderId="45" xfId="0" applyNumberFormat="1" applyBorder="1" applyAlignment="1" applyProtection="1">
      <alignment vertical="center"/>
      <protection locked="0"/>
    </xf>
    <xf numFmtId="0" fontId="73" fillId="21" borderId="67" xfId="0" applyFont="1" applyFill="1" applyBorder="1" applyAlignment="1" applyProtection="1">
      <alignment horizontal="center" vertical="center"/>
    </xf>
    <xf numFmtId="0" fontId="73" fillId="21" borderId="68" xfId="0" applyFont="1" applyFill="1" applyBorder="1" applyAlignment="1" applyProtection="1">
      <alignment horizontal="center" vertical="center"/>
    </xf>
    <xf numFmtId="0" fontId="73" fillId="21" borderId="69" xfId="0" applyFont="1" applyFill="1" applyBorder="1" applyAlignment="1" applyProtection="1">
      <alignment horizontal="center" vertical="center"/>
    </xf>
    <xf numFmtId="0" fontId="19" fillId="10" borderId="23" xfId="0" applyFont="1" applyFill="1" applyBorder="1" applyAlignment="1">
      <alignment horizontal="center" vertical="center"/>
    </xf>
    <xf numFmtId="0" fontId="19" fillId="10" borderId="83" xfId="0" applyFont="1" applyFill="1" applyBorder="1" applyAlignment="1">
      <alignment horizontal="center" vertical="center"/>
    </xf>
    <xf numFmtId="0" fontId="19" fillId="10" borderId="42" xfId="0" applyFont="1" applyFill="1" applyBorder="1" applyAlignment="1">
      <alignment horizontal="center" vertical="center"/>
    </xf>
    <xf numFmtId="0" fontId="0" fillId="0" borderId="43" xfId="0" applyNumberFormat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center" vertical="center"/>
    </xf>
    <xf numFmtId="0" fontId="9" fillId="10" borderId="0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/>
    </xf>
    <xf numFmtId="0" fontId="34" fillId="0" borderId="0" xfId="0" applyFont="1" applyBorder="1" applyAlignment="1">
      <alignment horizontal="center" wrapText="1"/>
    </xf>
    <xf numFmtId="0" fontId="35" fillId="0" borderId="0" xfId="0" applyFont="1" applyAlignment="1"/>
    <xf numFmtId="0" fontId="35" fillId="0" borderId="5" xfId="0" applyFont="1" applyBorder="1" applyAlignment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 applyAlignment="1"/>
    <xf numFmtId="0" fontId="0" fillId="0" borderId="5" xfId="0" applyFill="1" applyBorder="1" applyAlignment="1"/>
    <xf numFmtId="0" fontId="5" fillId="10" borderId="36" xfId="0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7" fillId="0" borderId="6" xfId="0" applyFont="1" applyFill="1" applyBorder="1" applyAlignment="1"/>
    <xf numFmtId="0" fontId="7" fillId="0" borderId="0" xfId="0" applyFont="1" applyFill="1" applyBorder="1" applyAlignment="1"/>
    <xf numFmtId="0" fontId="7" fillId="0" borderId="5" xfId="0" applyFont="1" applyBorder="1" applyAlignment="1"/>
    <xf numFmtId="0" fontId="25" fillId="0" borderId="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/>
    </xf>
    <xf numFmtId="0" fontId="36" fillId="0" borderId="5" xfId="0" applyFont="1" applyBorder="1" applyAlignment="1">
      <alignment horizontal="left"/>
    </xf>
    <xf numFmtId="0" fontId="25" fillId="0" borderId="0" xfId="0" applyFont="1" applyBorder="1" applyAlignment="1">
      <alignment vertical="center" wrapText="1"/>
    </xf>
    <xf numFmtId="0" fontId="36" fillId="0" borderId="0" xfId="0" applyFont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0" fillId="0" borderId="0" xfId="0" applyBorder="1" applyAlignment="1"/>
    <xf numFmtId="0" fontId="0" fillId="0" borderId="5" xfId="0" applyBorder="1" applyAlignment="1"/>
    <xf numFmtId="0" fontId="17" fillId="0" borderId="0" xfId="0" applyFont="1" applyBorder="1" applyAlignment="1">
      <alignment vertical="center" wrapText="1"/>
    </xf>
    <xf numFmtId="0" fontId="18" fillId="0" borderId="0" xfId="0" applyFont="1" applyBorder="1" applyAlignment="1"/>
    <xf numFmtId="0" fontId="18" fillId="0" borderId="5" xfId="0" applyFont="1" applyBorder="1" applyAlignment="1"/>
    <xf numFmtId="0" fontId="9" fillId="0" borderId="0" xfId="0" applyFont="1" applyBorder="1" applyAlignment="1">
      <alignment vertical="center" wrapText="1"/>
    </xf>
    <xf numFmtId="0" fontId="75" fillId="0" borderId="0" xfId="0" applyFont="1" applyBorder="1" applyAlignment="1">
      <alignment horizontal="left" vertical="center" wrapText="1"/>
    </xf>
    <xf numFmtId="0" fontId="47" fillId="7" borderId="47" xfId="0" applyFont="1" applyFill="1" applyBorder="1" applyAlignment="1" applyProtection="1">
      <alignment horizontal="right" vertical="center" indent="1"/>
    </xf>
    <xf numFmtId="0" fontId="47" fillId="7" borderId="0" xfId="0" applyFont="1" applyFill="1" applyBorder="1" applyAlignment="1" applyProtection="1">
      <alignment horizontal="right" vertical="center" indent="1"/>
    </xf>
    <xf numFmtId="0" fontId="39" fillId="0" borderId="27" xfId="0" applyFont="1" applyFill="1" applyBorder="1" applyAlignment="1"/>
    <xf numFmtId="0" fontId="39" fillId="0" borderId="48" xfId="0" applyFont="1" applyFill="1" applyBorder="1" applyAlignment="1"/>
    <xf numFmtId="0" fontId="47" fillId="7" borderId="49" xfId="0" applyNumberFormat="1" applyFont="1" applyFill="1" applyBorder="1" applyAlignment="1" applyProtection="1">
      <alignment horizontal="right" vertical="center" indent="1"/>
    </xf>
    <xf numFmtId="0" fontId="47" fillId="7" borderId="50" xfId="0" applyNumberFormat="1" applyFont="1" applyFill="1" applyBorder="1" applyAlignment="1" applyProtection="1">
      <alignment horizontal="right" vertical="center" indent="1"/>
    </xf>
    <xf numFmtId="0" fontId="40" fillId="11" borderId="19" xfId="0" applyFont="1" applyFill="1" applyBorder="1" applyAlignment="1" applyProtection="1">
      <alignment horizontal="center" vertical="center"/>
    </xf>
    <xf numFmtId="0" fontId="40" fillId="11" borderId="46" xfId="0" applyFont="1" applyFill="1" applyBorder="1" applyAlignment="1" applyProtection="1">
      <alignment horizontal="center" vertical="center"/>
    </xf>
    <xf numFmtId="0" fontId="45" fillId="0" borderId="0" xfId="0" applyNumberFormat="1" applyFont="1" applyFill="1" applyBorder="1" applyAlignment="1" applyProtection="1">
      <alignment horizontal="left" vertical="center"/>
      <protection locked="0"/>
    </xf>
    <xf numFmtId="0" fontId="45" fillId="0" borderId="12" xfId="0" applyNumberFormat="1" applyFont="1" applyFill="1" applyBorder="1" applyAlignment="1" applyProtection="1">
      <alignment horizontal="left" vertical="center"/>
      <protection locked="0"/>
    </xf>
    <xf numFmtId="0" fontId="42" fillId="6" borderId="0" xfId="0" applyNumberFormat="1" applyFont="1" applyFill="1" applyBorder="1" applyAlignment="1" applyProtection="1">
      <alignment horizontal="left" vertical="center"/>
    </xf>
    <xf numFmtId="0" fontId="42" fillId="6" borderId="12" xfId="0" applyNumberFormat="1" applyFont="1" applyFill="1" applyBorder="1" applyAlignment="1" applyProtection="1">
      <alignment horizontal="left" vertical="center"/>
    </xf>
    <xf numFmtId="0" fontId="45" fillId="9" borderId="0" xfId="0" applyNumberFormat="1" applyFont="1" applyFill="1" applyBorder="1" applyAlignment="1" applyProtection="1">
      <alignment horizontal="left" vertical="center"/>
      <protection locked="0"/>
    </xf>
    <xf numFmtId="0" fontId="45" fillId="9" borderId="12" xfId="0" applyNumberFormat="1" applyFont="1" applyFill="1" applyBorder="1" applyAlignment="1" applyProtection="1">
      <alignment horizontal="left" vertical="center"/>
      <protection locked="0"/>
    </xf>
    <xf numFmtId="14" fontId="45" fillId="9" borderId="0" xfId="0" applyNumberFormat="1" applyFont="1" applyFill="1" applyBorder="1" applyAlignment="1" applyProtection="1">
      <alignment horizontal="left" vertical="center"/>
      <protection locked="0"/>
    </xf>
    <xf numFmtId="14" fontId="45" fillId="9" borderId="12" xfId="0" applyNumberFormat="1" applyFont="1" applyFill="1" applyBorder="1" applyAlignment="1" applyProtection="1">
      <alignment horizontal="left" vertical="center"/>
      <protection locked="0"/>
    </xf>
    <xf numFmtId="0" fontId="43" fillId="13" borderId="27" xfId="0" applyFont="1" applyFill="1" applyBorder="1" applyAlignment="1">
      <alignment horizontal="center" vertical="center"/>
    </xf>
    <xf numFmtId="0" fontId="43" fillId="13" borderId="48" xfId="0" applyFont="1" applyFill="1" applyBorder="1" applyAlignment="1">
      <alignment horizontal="center" vertical="center"/>
    </xf>
    <xf numFmtId="0" fontId="43" fillId="13" borderId="51" xfId="0" applyFont="1" applyFill="1" applyBorder="1" applyAlignment="1">
      <alignment horizontal="center" vertical="center"/>
    </xf>
    <xf numFmtId="0" fontId="43" fillId="13" borderId="47" xfId="0" applyFont="1" applyFill="1" applyBorder="1" applyAlignment="1">
      <alignment horizontal="center" vertical="center"/>
    </xf>
    <xf numFmtId="0" fontId="43" fillId="13" borderId="0" xfId="0" applyFont="1" applyFill="1" applyBorder="1" applyAlignment="1">
      <alignment horizontal="center" vertical="center"/>
    </xf>
    <xf numFmtId="0" fontId="43" fillId="13" borderId="12" xfId="0" applyFont="1" applyFill="1" applyBorder="1" applyAlignment="1">
      <alignment horizontal="center" vertical="center"/>
    </xf>
    <xf numFmtId="0" fontId="39" fillId="0" borderId="47" xfId="0" applyFont="1" applyFill="1" applyBorder="1" applyAlignment="1"/>
    <xf numFmtId="0" fontId="39" fillId="0" borderId="0" xfId="0" applyFont="1" applyFill="1" applyBorder="1" applyAlignment="1"/>
    <xf numFmtId="0" fontId="39" fillId="0" borderId="12" xfId="0" applyFont="1" applyFill="1" applyBorder="1" applyAlignment="1"/>
    <xf numFmtId="1" fontId="41" fillId="0" borderId="0" xfId="0" applyNumberFormat="1" applyFont="1" applyFill="1" applyBorder="1" applyAlignment="1" applyProtection="1">
      <alignment horizontal="left"/>
    </xf>
    <xf numFmtId="1" fontId="41" fillId="0" borderId="12" xfId="0" applyNumberFormat="1" applyFont="1" applyFill="1" applyBorder="1" applyAlignment="1" applyProtection="1">
      <alignment horizontal="left"/>
    </xf>
    <xf numFmtId="0" fontId="44" fillId="11" borderId="52" xfId="0" applyFont="1" applyFill="1" applyBorder="1" applyAlignment="1" applyProtection="1">
      <alignment horizontal="center" vertical="center"/>
    </xf>
    <xf numFmtId="0" fontId="44" fillId="11" borderId="53" xfId="0" applyFont="1" applyFill="1" applyBorder="1" applyAlignment="1" applyProtection="1">
      <alignment horizontal="center" vertical="center"/>
    </xf>
    <xf numFmtId="0" fontId="44" fillId="11" borderId="54" xfId="0" applyFont="1" applyFill="1" applyBorder="1" applyAlignment="1" applyProtection="1">
      <alignment horizontal="center" vertical="center"/>
    </xf>
    <xf numFmtId="0" fontId="39" fillId="0" borderId="55" xfId="0" applyFont="1" applyFill="1" applyBorder="1" applyAlignment="1"/>
    <xf numFmtId="0" fontId="39" fillId="0" borderId="50" xfId="0" applyFont="1" applyFill="1" applyBorder="1" applyAlignment="1"/>
    <xf numFmtId="0" fontId="39" fillId="0" borderId="56" xfId="0" applyFont="1" applyFill="1" applyBorder="1" applyAlignment="1"/>
    <xf numFmtId="0" fontId="49" fillId="0" borderId="19" xfId="0" applyFont="1" applyFill="1" applyBorder="1" applyAlignment="1" applyProtection="1"/>
    <xf numFmtId="0" fontId="49" fillId="0" borderId="46" xfId="0" applyFont="1" applyFill="1" applyBorder="1" applyAlignment="1" applyProtection="1"/>
    <xf numFmtId="0" fontId="46" fillId="0" borderId="31" xfId="0" applyNumberFormat="1" applyFont="1" applyBorder="1" applyAlignment="1" applyProtection="1">
      <alignment vertical="center"/>
      <protection locked="0"/>
    </xf>
    <xf numFmtId="0" fontId="46" fillId="0" borderId="90" xfId="0" applyNumberFormat="1" applyFont="1" applyBorder="1" applyAlignment="1" applyProtection="1">
      <alignment vertical="center"/>
      <protection locked="0"/>
    </xf>
    <xf numFmtId="0" fontId="46" fillId="0" borderId="29" xfId="0" applyNumberFormat="1" applyFont="1" applyBorder="1" applyAlignment="1" applyProtection="1">
      <alignment vertical="center"/>
      <protection locked="0"/>
    </xf>
    <xf numFmtId="0" fontId="46" fillId="0" borderId="89" xfId="0" applyNumberFormat="1" applyFont="1" applyBorder="1" applyAlignment="1" applyProtection="1">
      <alignment vertical="center"/>
      <protection locked="0"/>
    </xf>
    <xf numFmtId="0" fontId="39" fillId="0" borderId="15" xfId="0" applyFont="1" applyFill="1" applyBorder="1" applyAlignment="1"/>
    <xf numFmtId="0" fontId="39" fillId="0" borderId="57" xfId="0" applyFont="1" applyFill="1" applyBorder="1" applyAlignment="1"/>
    <xf numFmtId="0" fontId="26" fillId="0" borderId="19" xfId="0" applyFont="1" applyFill="1" applyBorder="1" applyAlignment="1"/>
    <xf numFmtId="0" fontId="26" fillId="0" borderId="46" xfId="0" applyFont="1" applyFill="1" applyBorder="1" applyAlignment="1"/>
    <xf numFmtId="0" fontId="47" fillId="12" borderId="58" xfId="0" applyFont="1" applyFill="1" applyBorder="1" applyAlignment="1">
      <alignment horizontal="left" vertical="center" indent="1"/>
    </xf>
    <xf numFmtId="0" fontId="47" fillId="12" borderId="46" xfId="0" applyFont="1" applyFill="1" applyBorder="1" applyAlignment="1">
      <alignment horizontal="left" vertical="center" indent="1"/>
    </xf>
    <xf numFmtId="0" fontId="40" fillId="11" borderId="13" xfId="0" applyFont="1" applyFill="1" applyBorder="1" applyAlignment="1" applyProtection="1">
      <alignment horizontal="center" vertical="center"/>
    </xf>
    <xf numFmtId="0" fontId="46" fillId="0" borderId="33" xfId="0" applyNumberFormat="1" applyFont="1" applyBorder="1" applyAlignment="1" applyProtection="1">
      <alignment vertical="center"/>
      <protection locked="0"/>
    </xf>
    <xf numFmtId="0" fontId="46" fillId="0" borderId="91" xfId="0" applyNumberFormat="1" applyFont="1" applyBorder="1" applyAlignment="1" applyProtection="1">
      <alignment vertical="center"/>
      <protection locked="0"/>
    </xf>
    <xf numFmtId="0" fontId="39" fillId="0" borderId="19" xfId="0" applyFont="1" applyFill="1" applyBorder="1" applyAlignment="1" applyProtection="1"/>
    <xf numFmtId="0" fontId="39" fillId="0" borderId="46" xfId="0" applyFont="1" applyFill="1" applyBorder="1" applyAlignment="1" applyProtection="1"/>
    <xf numFmtId="0" fontId="39" fillId="0" borderId="19" xfId="0" applyFont="1" applyFill="1" applyBorder="1" applyAlignment="1"/>
    <xf numFmtId="0" fontId="39" fillId="0" borderId="46" xfId="0" applyFont="1" applyFill="1" applyBorder="1" applyAlignment="1"/>
    <xf numFmtId="0" fontId="41" fillId="9" borderId="0" xfId="0" applyNumberFormat="1" applyFont="1" applyFill="1" applyBorder="1" applyAlignment="1" applyProtection="1">
      <alignment horizontal="left" vertical="center"/>
      <protection locked="0"/>
    </xf>
    <xf numFmtId="49" fontId="45" fillId="9" borderId="0" xfId="0" applyNumberFormat="1" applyFont="1" applyFill="1" applyBorder="1" applyAlignment="1" applyProtection="1">
      <alignment horizontal="left" vertical="center"/>
      <protection locked="0"/>
    </xf>
    <xf numFmtId="49" fontId="45" fillId="9" borderId="12" xfId="0" applyNumberFormat="1" applyFont="1" applyFill="1" applyBorder="1" applyAlignment="1" applyProtection="1">
      <alignment horizontal="left" vertical="center"/>
      <protection locked="0"/>
    </xf>
    <xf numFmtId="0" fontId="40" fillId="11" borderId="57" xfId="0" applyFont="1" applyFill="1" applyBorder="1" applyAlignment="1" applyProtection="1">
      <alignment horizontal="center" vertical="center"/>
    </xf>
    <xf numFmtId="0" fontId="47" fillId="7" borderId="47" xfId="0" applyNumberFormat="1" applyFont="1" applyFill="1" applyBorder="1" applyAlignment="1" applyProtection="1">
      <alignment horizontal="right" vertical="center" indent="1"/>
    </xf>
    <xf numFmtId="0" fontId="47" fillId="7" borderId="0" xfId="0" applyNumberFormat="1" applyFont="1" applyFill="1" applyBorder="1" applyAlignment="1" applyProtection="1">
      <alignment horizontal="right" vertical="center" indent="1"/>
    </xf>
    <xf numFmtId="1" fontId="41" fillId="0" borderId="57" xfId="0" applyNumberFormat="1" applyFont="1" applyFill="1" applyBorder="1" applyAlignment="1" applyProtection="1">
      <alignment horizontal="left"/>
    </xf>
    <xf numFmtId="0" fontId="37" fillId="0" borderId="35" xfId="0" applyNumberFormat="1" applyFont="1" applyBorder="1" applyAlignment="1" applyProtection="1">
      <alignment horizontal="center" vertical="center"/>
    </xf>
    <xf numFmtId="0" fontId="47" fillId="12" borderId="62" xfId="0" applyFont="1" applyFill="1" applyBorder="1" applyAlignment="1" applyProtection="1">
      <alignment horizontal="center" vertical="center"/>
    </xf>
    <xf numFmtId="0" fontId="47" fillId="12" borderId="63" xfId="0" applyFont="1" applyFill="1" applyBorder="1" applyAlignment="1" applyProtection="1">
      <alignment horizontal="center" vertical="center"/>
    </xf>
    <xf numFmtId="0" fontId="47" fillId="12" borderId="64" xfId="0" applyFont="1" applyFill="1" applyBorder="1" applyAlignment="1" applyProtection="1">
      <alignment horizontal="center" vertical="center"/>
    </xf>
    <xf numFmtId="0" fontId="50" fillId="8" borderId="0" xfId="0" applyFont="1" applyFill="1" applyBorder="1" applyAlignment="1" applyProtection="1">
      <alignment horizontal="center"/>
    </xf>
    <xf numFmtId="0" fontId="43" fillId="8" borderId="0" xfId="0" applyNumberFormat="1" applyFont="1" applyFill="1" applyBorder="1" applyAlignment="1" applyProtection="1">
      <alignment horizontal="center" vertical="center"/>
    </xf>
    <xf numFmtId="0" fontId="50" fillId="8" borderId="0" xfId="0" applyFont="1" applyFill="1" applyBorder="1" applyAlignment="1" applyProtection="1"/>
    <xf numFmtId="0" fontId="54" fillId="7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/>
    </xf>
    <xf numFmtId="0" fontId="37" fillId="0" borderId="0" xfId="0" applyFont="1" applyFill="1" applyBorder="1" applyAlignment="1" applyProtection="1">
      <protection locked="0"/>
    </xf>
    <xf numFmtId="0" fontId="39" fillId="0" borderId="0" xfId="0" applyFont="1" applyFill="1" applyBorder="1" applyAlignment="1" applyProtection="1"/>
    <xf numFmtId="0" fontId="47" fillId="7" borderId="0" xfId="0" applyFont="1" applyFill="1" applyBorder="1" applyAlignment="1" applyProtection="1">
      <alignment horizontal="right" vertical="center"/>
    </xf>
    <xf numFmtId="0" fontId="59" fillId="22" borderId="70" xfId="0" applyFont="1" applyFill="1" applyBorder="1" applyAlignment="1" applyProtection="1">
      <alignment horizontal="center" vertical="center"/>
    </xf>
    <xf numFmtId="0" fontId="38" fillId="7" borderId="0" xfId="0" applyFont="1" applyFill="1" applyBorder="1" applyAlignment="1" applyProtection="1">
      <alignment horizontal="center" vertical="center"/>
      <protection locked="0"/>
    </xf>
    <xf numFmtId="0" fontId="59" fillId="9" borderId="72" xfId="0" applyFont="1" applyFill="1" applyBorder="1" applyAlignment="1" applyProtection="1">
      <alignment horizontal="center" vertical="center"/>
    </xf>
    <xf numFmtId="0" fontId="59" fillId="9" borderId="77" xfId="0" applyFont="1" applyFill="1" applyBorder="1" applyAlignment="1" applyProtection="1">
      <alignment horizontal="center" vertical="center"/>
    </xf>
    <xf numFmtId="0" fontId="59" fillId="9" borderId="78" xfId="0" applyFont="1" applyFill="1" applyBorder="1" applyAlignment="1" applyProtection="1">
      <alignment horizontal="center" vertical="center"/>
    </xf>
  </cellXfs>
  <cellStyles count="22">
    <cellStyle name="Caché" xfId="1"/>
    <cellStyle name="Comma [0]" xfId="2"/>
    <cellStyle name="Coût" xfId="3"/>
    <cellStyle name="Currency [0]" xfId="4"/>
    <cellStyle name="Date anglaise" xfId="5"/>
    <cellStyle name="Date mois" xfId="6"/>
    <cellStyle name="Date saisie" xfId="7"/>
    <cellStyle name="Déf_kLoc" xfId="8"/>
    <cellStyle name="Donnée" xfId="9"/>
    <cellStyle name="Euro" xfId="10"/>
    <cellStyle name="Fixé" xfId="11"/>
    <cellStyle name="H_Déf" xfId="12"/>
    <cellStyle name="Masqué" xfId="13"/>
    <cellStyle name="Non modifiable" xfId="14"/>
    <cellStyle name="Normal" xfId="0" builtinId="0"/>
    <cellStyle name="Normal 2" xfId="15"/>
    <cellStyle name="Normal 3 4" xfId="21"/>
    <cellStyle name="Normal_L_AFCS1 (2)" xfId="16"/>
    <cellStyle name="Pourcentage entier" xfId="17"/>
    <cellStyle name="TitreSérie" xfId="18"/>
    <cellStyle name="TypeDonnée" xfId="19"/>
    <cellStyle name="Variation" xfId="20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solid">
          <fgColor theme="0"/>
          <bgColor theme="4" tint="-0.24994659260841701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CC66"/>
      <color rgb="FFFFFF99"/>
      <color rgb="FFFDE7E8"/>
      <color rgb="FF0059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37</xdr:row>
          <xdr:rowOff>0</xdr:rowOff>
        </xdr:from>
        <xdr:to>
          <xdr:col>1</xdr:col>
          <xdr:colOff>1341120</xdr:colOff>
          <xdr:row>37</xdr:row>
          <xdr:rowOff>0</xdr:rowOff>
        </xdr:to>
        <xdr:sp macro="" textlink="">
          <xdr:nvSpPr>
            <xdr:cNvPr id="26917" name="TextBox1" hidden="1">
              <a:extLst>
                <a:ext uri="{63B3BB69-23CF-44E3-9099-C40C66FF867C}">
                  <a14:compatExt spid="_x0000_s2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37</xdr:row>
          <xdr:rowOff>0</xdr:rowOff>
        </xdr:from>
        <xdr:to>
          <xdr:col>5</xdr:col>
          <xdr:colOff>335280</xdr:colOff>
          <xdr:row>37</xdr:row>
          <xdr:rowOff>0</xdr:rowOff>
        </xdr:to>
        <xdr:sp macro="" textlink="">
          <xdr:nvSpPr>
            <xdr:cNvPr id="26918" name="TextBox2" hidden="1">
              <a:extLst>
                <a:ext uri="{63B3BB69-23CF-44E3-9099-C40C66FF867C}">
                  <a14:compatExt spid="_x0000_s2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1440180</xdr:colOff>
          <xdr:row>37</xdr:row>
          <xdr:rowOff>0</xdr:rowOff>
        </xdr:from>
        <xdr:to>
          <xdr:col>3</xdr:col>
          <xdr:colOff>220980</xdr:colOff>
          <xdr:row>37</xdr:row>
          <xdr:rowOff>0</xdr:rowOff>
        </xdr:to>
        <xdr:sp macro="" textlink="">
          <xdr:nvSpPr>
            <xdr:cNvPr id="26919" name="TextBox3" hidden="1">
              <a:extLst>
                <a:ext uri="{63B3BB69-23CF-44E3-9099-C40C66FF867C}">
                  <a14:compatExt spid="_x0000_s2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37</xdr:row>
          <xdr:rowOff>0</xdr:rowOff>
        </xdr:from>
        <xdr:to>
          <xdr:col>4</xdr:col>
          <xdr:colOff>304800</xdr:colOff>
          <xdr:row>37</xdr:row>
          <xdr:rowOff>0</xdr:rowOff>
        </xdr:to>
        <xdr:sp macro="" textlink="">
          <xdr:nvSpPr>
            <xdr:cNvPr id="26920" name="TextBox4" hidden="1">
              <a:extLst>
                <a:ext uri="{63B3BB69-23CF-44E3-9099-C40C66FF867C}">
                  <a14:compatExt spid="_x0000_s2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37</xdr:row>
          <xdr:rowOff>0</xdr:rowOff>
        </xdr:from>
        <xdr:to>
          <xdr:col>6</xdr:col>
          <xdr:colOff>1028700</xdr:colOff>
          <xdr:row>37</xdr:row>
          <xdr:rowOff>0</xdr:rowOff>
        </xdr:to>
        <xdr:sp macro="" textlink="">
          <xdr:nvSpPr>
            <xdr:cNvPr id="26921" name="TextBox5" hidden="1">
              <a:extLst>
                <a:ext uri="{63B3BB69-23CF-44E3-9099-C40C66FF867C}">
                  <a14:compatExt spid="_x0000_s2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990600</xdr:colOff>
          <xdr:row>37</xdr:row>
          <xdr:rowOff>0</xdr:rowOff>
        </xdr:from>
        <xdr:to>
          <xdr:col>7</xdr:col>
          <xdr:colOff>1181100</xdr:colOff>
          <xdr:row>37</xdr:row>
          <xdr:rowOff>0</xdr:rowOff>
        </xdr:to>
        <xdr:sp macro="" textlink="">
          <xdr:nvSpPr>
            <xdr:cNvPr id="26922" name="TextBox6" hidden="1">
              <a:extLst>
                <a:ext uri="{63B3BB69-23CF-44E3-9099-C40C66FF867C}">
                  <a14:compatExt spid="_x0000_s2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1150620</xdr:colOff>
          <xdr:row>37</xdr:row>
          <xdr:rowOff>0</xdr:rowOff>
        </xdr:from>
        <xdr:to>
          <xdr:col>9</xdr:col>
          <xdr:colOff>30480</xdr:colOff>
          <xdr:row>37</xdr:row>
          <xdr:rowOff>0</xdr:rowOff>
        </xdr:to>
        <xdr:sp macro="" textlink="">
          <xdr:nvSpPr>
            <xdr:cNvPr id="26923" name="TextBox7" hidden="1">
              <a:extLst>
                <a:ext uri="{63B3BB69-23CF-44E3-9099-C40C66FF867C}">
                  <a14:compatExt spid="_x0000_s2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</xdr:col>
      <xdr:colOff>280147</xdr:colOff>
      <xdr:row>1</xdr:row>
      <xdr:rowOff>89648</xdr:rowOff>
    </xdr:from>
    <xdr:to>
      <xdr:col>1</xdr:col>
      <xdr:colOff>1203827</xdr:colOff>
      <xdr:row>4</xdr:row>
      <xdr:rowOff>78890</xdr:rowOff>
    </xdr:to>
    <xdr:pic>
      <xdr:nvPicPr>
        <xdr:cNvPr id="10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81853" y="257736"/>
          <a:ext cx="923680" cy="627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404585</xdr:colOff>
      <xdr:row>21</xdr:row>
      <xdr:rowOff>162378</xdr:rowOff>
    </xdr:from>
    <xdr:to>
      <xdr:col>12</xdr:col>
      <xdr:colOff>2387115</xdr:colOff>
      <xdr:row>21</xdr:row>
      <xdr:rowOff>533399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844985" y="6118678"/>
          <a:ext cx="1982530" cy="371021"/>
        </a:xfrm>
        <a:prstGeom prst="rect">
          <a:avLst/>
        </a:prstGeom>
      </xdr:spPr>
    </xdr:pic>
    <xdr:clientData/>
  </xdr:twoCellAnchor>
  <xdr:twoCellAnchor>
    <xdr:from>
      <xdr:col>2</xdr:col>
      <xdr:colOff>1094835</xdr:colOff>
      <xdr:row>17</xdr:row>
      <xdr:rowOff>317500</xdr:rowOff>
    </xdr:from>
    <xdr:to>
      <xdr:col>5</xdr:col>
      <xdr:colOff>376345</xdr:colOff>
      <xdr:row>18</xdr:row>
      <xdr:rowOff>176971</xdr:rowOff>
    </xdr:to>
    <xdr:sp macro="" textlink="">
      <xdr:nvSpPr>
        <xdr:cNvPr id="12" name="Sous-titre 2"/>
        <xdr:cNvSpPr>
          <a:spLocks noGrp="1"/>
        </xdr:cNvSpPr>
      </xdr:nvSpPr>
      <xdr:spPr>
        <a:xfrm>
          <a:off x="2809335" y="4292600"/>
          <a:ext cx="3205810" cy="583371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Lire le </a:t>
          </a:r>
          <a:r>
            <a:rPr lang="fr-FR" sz="1400" b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LISEZ-MOI</a:t>
          </a: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dans sa globalité.</a:t>
          </a:r>
        </a:p>
      </xdr:txBody>
    </xdr:sp>
    <xdr:clientData/>
  </xdr:twoCellAnchor>
  <xdr:twoCellAnchor>
    <xdr:from>
      <xdr:col>2</xdr:col>
      <xdr:colOff>748638</xdr:colOff>
      <xdr:row>19</xdr:row>
      <xdr:rowOff>191438</xdr:rowOff>
    </xdr:from>
    <xdr:to>
      <xdr:col>5</xdr:col>
      <xdr:colOff>715310</xdr:colOff>
      <xdr:row>24</xdr:row>
      <xdr:rowOff>197473</xdr:rowOff>
    </xdr:to>
    <xdr:sp macro="" textlink="">
      <xdr:nvSpPr>
        <xdr:cNvPr id="13" name="Sous-titre 2"/>
        <xdr:cNvSpPr txBox="1">
          <a:spLocks/>
        </xdr:cNvSpPr>
      </xdr:nvSpPr>
      <xdr:spPr>
        <a:xfrm>
          <a:off x="2463138" y="5246038"/>
          <a:ext cx="3890972" cy="3739835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t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6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Remplir l’onglet </a:t>
          </a:r>
          <a:r>
            <a:rPr lang="fr-FR" sz="1600" b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PARAMETRES.</a:t>
          </a:r>
        </a:p>
        <a:p>
          <a:endParaRPr lang="fr-FR" sz="1600" b="1">
            <a:solidFill>
              <a:schemeClr val="bg2">
                <a:lumMod val="25000"/>
              </a:schemeClr>
            </a:solidFill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twoCellAnchor>
  <xdr:twoCellAnchor>
    <xdr:from>
      <xdr:col>2</xdr:col>
      <xdr:colOff>1096756</xdr:colOff>
      <xdr:row>20</xdr:row>
      <xdr:rowOff>31509</xdr:rowOff>
    </xdr:from>
    <xdr:to>
      <xdr:col>5</xdr:col>
      <xdr:colOff>378266</xdr:colOff>
      <xdr:row>21</xdr:row>
      <xdr:rowOff>326694</xdr:rowOff>
    </xdr:to>
    <xdr:sp macro="" textlink="">
      <xdr:nvSpPr>
        <xdr:cNvPr id="14" name="Sous-titre 2"/>
        <xdr:cNvSpPr txBox="1">
          <a:spLocks/>
        </xdr:cNvSpPr>
      </xdr:nvSpPr>
      <xdr:spPr>
        <a:xfrm>
          <a:off x="2811256" y="5632209"/>
          <a:ext cx="3205810" cy="650785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Partie PARAMETRES GLOBAUX : compléter les champs.</a:t>
          </a:r>
        </a:p>
      </xdr:txBody>
    </xdr:sp>
    <xdr:clientData/>
  </xdr:twoCellAnchor>
  <xdr:twoCellAnchor>
    <xdr:from>
      <xdr:col>2</xdr:col>
      <xdr:colOff>1094835</xdr:colOff>
      <xdr:row>21</xdr:row>
      <xdr:rowOff>713945</xdr:rowOff>
    </xdr:from>
    <xdr:to>
      <xdr:col>5</xdr:col>
      <xdr:colOff>376345</xdr:colOff>
      <xdr:row>23</xdr:row>
      <xdr:rowOff>30052</xdr:rowOff>
    </xdr:to>
    <xdr:sp macro="" textlink="">
      <xdr:nvSpPr>
        <xdr:cNvPr id="15" name="Sous-titre 2"/>
        <xdr:cNvSpPr txBox="1">
          <a:spLocks/>
        </xdr:cNvSpPr>
      </xdr:nvSpPr>
      <xdr:spPr>
        <a:xfrm>
          <a:off x="2809335" y="6670245"/>
          <a:ext cx="3205810" cy="1132207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Partie CIRCUIT DE VALIDATION : compléter les informations (date, initiales, noms, temps passé sur la relecture du livrable).</a:t>
          </a:r>
        </a:p>
      </xdr:txBody>
    </xdr:sp>
    <xdr:clientData/>
  </xdr:twoCellAnchor>
  <xdr:twoCellAnchor>
    <xdr:from>
      <xdr:col>5</xdr:col>
      <xdr:colOff>860023</xdr:colOff>
      <xdr:row>21</xdr:row>
      <xdr:rowOff>794945</xdr:rowOff>
    </xdr:from>
    <xdr:to>
      <xdr:col>8</xdr:col>
      <xdr:colOff>209865</xdr:colOff>
      <xdr:row>22</xdr:row>
      <xdr:rowOff>221643</xdr:rowOff>
    </xdr:to>
    <xdr:sp macro="" textlink="">
      <xdr:nvSpPr>
        <xdr:cNvPr id="16" name="Rectangle à coins arrondis 15"/>
        <xdr:cNvSpPr/>
      </xdr:nvSpPr>
      <xdr:spPr>
        <a:xfrm>
          <a:off x="6498823" y="6751245"/>
          <a:ext cx="3274142" cy="925298"/>
        </a:xfrm>
        <a:prstGeom prst="roundRect">
          <a:avLst/>
        </a:prstGeom>
        <a:solidFill>
          <a:srgbClr val="FFCC66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400" i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Règle d’or </a:t>
          </a: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: </a:t>
          </a:r>
        </a:p>
        <a:p>
          <a:pPr algn="ctr"/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Maitriser sa diffusion c’est maitriser son information (risque cyber, RGPD, export control, etc.)</a:t>
          </a:r>
        </a:p>
      </xdr:txBody>
    </xdr:sp>
    <xdr:clientData/>
  </xdr:twoCellAnchor>
  <xdr:twoCellAnchor>
    <xdr:from>
      <xdr:col>2</xdr:col>
      <xdr:colOff>1063085</xdr:colOff>
      <xdr:row>24</xdr:row>
      <xdr:rowOff>476217</xdr:rowOff>
    </xdr:from>
    <xdr:to>
      <xdr:col>5</xdr:col>
      <xdr:colOff>344595</xdr:colOff>
      <xdr:row>25</xdr:row>
      <xdr:rowOff>545311</xdr:rowOff>
    </xdr:to>
    <xdr:sp macro="" textlink="">
      <xdr:nvSpPr>
        <xdr:cNvPr id="17" name="Sous-titre 2"/>
        <xdr:cNvSpPr txBox="1">
          <a:spLocks/>
        </xdr:cNvSpPr>
      </xdr:nvSpPr>
      <xdr:spPr>
        <a:xfrm>
          <a:off x="2745835" y="9334467"/>
          <a:ext cx="3091510" cy="1085094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t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Compléter la </a:t>
          </a:r>
          <a:r>
            <a:rPr lang="fr-FR" sz="1400" b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fiche relecture de pairs.</a:t>
          </a:r>
        </a:p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Tous les commentaires (auteur, pairs et approbateur) se trouvent sur le même onglet.</a:t>
          </a:r>
        </a:p>
      </xdr:txBody>
    </xdr:sp>
    <xdr:clientData/>
  </xdr:twoCellAnchor>
  <xdr:twoCellAnchor>
    <xdr:from>
      <xdr:col>2</xdr:col>
      <xdr:colOff>1094835</xdr:colOff>
      <xdr:row>25</xdr:row>
      <xdr:rowOff>1549680</xdr:rowOff>
    </xdr:from>
    <xdr:to>
      <xdr:col>5</xdr:col>
      <xdr:colOff>376345</xdr:colOff>
      <xdr:row>25</xdr:row>
      <xdr:rowOff>2053162</xdr:rowOff>
    </xdr:to>
    <xdr:sp macro="" textlink="">
      <xdr:nvSpPr>
        <xdr:cNvPr id="18" name="Sous-titre 2"/>
        <xdr:cNvSpPr txBox="1">
          <a:spLocks/>
        </xdr:cNvSpPr>
      </xdr:nvSpPr>
      <xdr:spPr>
        <a:xfrm>
          <a:off x="2777585" y="11423930"/>
          <a:ext cx="3091510" cy="503482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Vérifier que tous les commentaires aient été fermés.</a:t>
          </a:r>
        </a:p>
      </xdr:txBody>
    </xdr:sp>
    <xdr:clientData/>
  </xdr:twoCellAnchor>
  <xdr:twoCellAnchor>
    <xdr:from>
      <xdr:col>2</xdr:col>
      <xdr:colOff>1094835</xdr:colOff>
      <xdr:row>25</xdr:row>
      <xdr:rowOff>2470156</xdr:rowOff>
    </xdr:from>
    <xdr:to>
      <xdr:col>5</xdr:col>
      <xdr:colOff>376345</xdr:colOff>
      <xdr:row>25</xdr:row>
      <xdr:rowOff>2973638</xdr:rowOff>
    </xdr:to>
    <xdr:sp macro="" textlink="">
      <xdr:nvSpPr>
        <xdr:cNvPr id="19" name="Sous-titre 2"/>
        <xdr:cNvSpPr txBox="1">
          <a:spLocks/>
        </xdr:cNvSpPr>
      </xdr:nvSpPr>
      <xdr:spPr>
        <a:xfrm>
          <a:off x="2777585" y="12344406"/>
          <a:ext cx="3091510" cy="503482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Verrouiller l’utilisation du document.</a:t>
          </a:r>
        </a:p>
      </xdr:txBody>
    </xdr:sp>
    <xdr:clientData/>
  </xdr:twoCellAnchor>
  <xdr:twoCellAnchor>
    <xdr:from>
      <xdr:col>1</xdr:col>
      <xdr:colOff>74766</xdr:colOff>
      <xdr:row>20</xdr:row>
      <xdr:rowOff>217685</xdr:rowOff>
    </xdr:from>
    <xdr:to>
      <xdr:col>2</xdr:col>
      <xdr:colOff>523876</xdr:colOff>
      <xdr:row>21</xdr:row>
      <xdr:rowOff>129559</xdr:rowOff>
    </xdr:to>
    <xdr:grpSp>
      <xdr:nvGrpSpPr>
        <xdr:cNvPr id="20" name="Groupe 19"/>
        <xdr:cNvGrpSpPr/>
      </xdr:nvGrpSpPr>
      <xdr:grpSpPr>
        <a:xfrm>
          <a:off x="277966" y="6097785"/>
          <a:ext cx="1960410" cy="267474"/>
          <a:chOff x="1561989" y="1768488"/>
          <a:chExt cx="2005703" cy="267882"/>
        </a:xfrm>
      </xdr:grpSpPr>
      <xdr:sp macro="" textlink="">
        <xdr:nvSpPr>
          <xdr:cNvPr id="44" name="Rectangle 43"/>
          <xdr:cNvSpPr/>
        </xdr:nvSpPr>
        <xdr:spPr>
          <a:xfrm>
            <a:off x="1796232" y="1768488"/>
            <a:ext cx="1771460" cy="267882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Auteur/Rédacteur</a:t>
            </a:r>
          </a:p>
        </xdr:txBody>
      </xdr:sp>
      <xdr:sp macro="" textlink="">
        <xdr:nvSpPr>
          <xdr:cNvPr id="45" name="Shape 2614">
            <a:extLst>
              <a:ext uri="{FF2B5EF4-FFF2-40B4-BE49-F238E27FC236}">
                <a16:creationId xmlns:a16="http://schemas.microsoft.com/office/drawing/2014/main" id="{93991CFC-0E83-4712-8E8E-C8FE46952B29}"/>
              </a:ext>
            </a:extLst>
          </xdr:cNvPr>
          <xdr:cNvSpPr/>
        </xdr:nvSpPr>
        <xdr:spPr>
          <a:xfrm>
            <a:off x="1561989" y="1798987"/>
            <a:ext cx="216000" cy="216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17958" y="17505"/>
                </a:moveTo>
                <a:cubicBezTo>
                  <a:pt x="17372" y="16944"/>
                  <a:pt x="16242" y="15945"/>
                  <a:pt x="15117" y="15413"/>
                </a:cubicBezTo>
                <a:cubicBezTo>
                  <a:pt x="14189" y="14975"/>
                  <a:pt x="13657" y="14531"/>
                  <a:pt x="13491" y="14057"/>
                </a:cubicBezTo>
                <a:cubicBezTo>
                  <a:pt x="13377" y="13728"/>
                  <a:pt x="13428" y="13351"/>
                  <a:pt x="13649" y="12904"/>
                </a:cubicBezTo>
                <a:cubicBezTo>
                  <a:pt x="13815" y="12567"/>
                  <a:pt x="13972" y="12286"/>
                  <a:pt x="14117" y="12028"/>
                </a:cubicBezTo>
                <a:cubicBezTo>
                  <a:pt x="14730" y="10934"/>
                  <a:pt x="15203" y="10145"/>
                  <a:pt x="15203" y="7348"/>
                </a:cubicBezTo>
                <a:cubicBezTo>
                  <a:pt x="15203" y="3162"/>
                  <a:pt x="12787" y="2951"/>
                  <a:pt x="12309" y="2951"/>
                </a:cubicBezTo>
                <a:cubicBezTo>
                  <a:pt x="11917" y="2951"/>
                  <a:pt x="11672" y="3037"/>
                  <a:pt x="11435" y="3121"/>
                </a:cubicBezTo>
                <a:cubicBezTo>
                  <a:pt x="11175" y="3213"/>
                  <a:pt x="10907" y="3309"/>
                  <a:pt x="10296" y="3319"/>
                </a:cubicBezTo>
                <a:cubicBezTo>
                  <a:pt x="9190" y="3337"/>
                  <a:pt x="6873" y="3375"/>
                  <a:pt x="6873" y="7226"/>
                </a:cubicBezTo>
                <a:cubicBezTo>
                  <a:pt x="6873" y="9919"/>
                  <a:pt x="7574" y="11156"/>
                  <a:pt x="8125" y="12150"/>
                </a:cubicBezTo>
                <a:cubicBezTo>
                  <a:pt x="8266" y="12404"/>
                  <a:pt x="8399" y="12645"/>
                  <a:pt x="8505" y="12885"/>
                </a:cubicBezTo>
                <a:cubicBezTo>
                  <a:pt x="8973" y="13949"/>
                  <a:pt x="8631" y="14693"/>
                  <a:pt x="7426" y="15224"/>
                </a:cubicBezTo>
                <a:cubicBezTo>
                  <a:pt x="5905" y="15897"/>
                  <a:pt x="5188" y="16247"/>
                  <a:pt x="3693" y="17562"/>
                </a:cubicBezTo>
                <a:cubicBezTo>
                  <a:pt x="2017" y="15800"/>
                  <a:pt x="982" y="13423"/>
                  <a:pt x="982" y="10800"/>
                </a:cubicBezTo>
                <a:cubicBezTo>
                  <a:pt x="982" y="5377"/>
                  <a:pt x="5377" y="982"/>
                  <a:pt x="10800" y="982"/>
                </a:cubicBezTo>
                <a:cubicBezTo>
                  <a:pt x="16223" y="982"/>
                  <a:pt x="20618" y="5377"/>
                  <a:pt x="20618" y="10800"/>
                </a:cubicBezTo>
                <a:cubicBezTo>
                  <a:pt x="20618" y="13395"/>
                  <a:pt x="19603" y="15749"/>
                  <a:pt x="17958" y="17505"/>
                </a:cubicBezTo>
                <a:moveTo>
                  <a:pt x="10800" y="20618"/>
                </a:moveTo>
                <a:cubicBezTo>
                  <a:pt x="8356" y="20618"/>
                  <a:pt x="6125" y="19720"/>
                  <a:pt x="4407" y="18242"/>
                </a:cubicBezTo>
                <a:cubicBezTo>
                  <a:pt x="5730" y="17084"/>
                  <a:pt x="6362" y="16767"/>
                  <a:pt x="7823" y="16122"/>
                </a:cubicBezTo>
                <a:cubicBezTo>
                  <a:pt x="9515" y="15375"/>
                  <a:pt x="10091" y="14051"/>
                  <a:pt x="9403" y="12489"/>
                </a:cubicBezTo>
                <a:cubicBezTo>
                  <a:pt x="9279" y="12208"/>
                  <a:pt x="9136" y="11949"/>
                  <a:pt x="8984" y="11674"/>
                </a:cubicBezTo>
                <a:cubicBezTo>
                  <a:pt x="8461" y="10732"/>
                  <a:pt x="7855" y="9665"/>
                  <a:pt x="7855" y="7226"/>
                </a:cubicBezTo>
                <a:cubicBezTo>
                  <a:pt x="7855" y="4341"/>
                  <a:pt x="9224" y="4318"/>
                  <a:pt x="10312" y="4300"/>
                </a:cubicBezTo>
                <a:cubicBezTo>
                  <a:pt x="11084" y="4287"/>
                  <a:pt x="11461" y="4154"/>
                  <a:pt x="11763" y="4047"/>
                </a:cubicBezTo>
                <a:cubicBezTo>
                  <a:pt x="11964" y="3975"/>
                  <a:pt x="12086" y="3933"/>
                  <a:pt x="12309" y="3933"/>
                </a:cubicBezTo>
                <a:cubicBezTo>
                  <a:pt x="13218" y="3933"/>
                  <a:pt x="14221" y="4830"/>
                  <a:pt x="14221" y="7348"/>
                </a:cubicBezTo>
                <a:cubicBezTo>
                  <a:pt x="14221" y="9888"/>
                  <a:pt x="13840" y="10513"/>
                  <a:pt x="13261" y="11548"/>
                </a:cubicBezTo>
                <a:cubicBezTo>
                  <a:pt x="13108" y="11820"/>
                  <a:pt x="12943" y="12115"/>
                  <a:pt x="12768" y="12470"/>
                </a:cubicBezTo>
                <a:cubicBezTo>
                  <a:pt x="12430" y="13155"/>
                  <a:pt x="12362" y="13798"/>
                  <a:pt x="12565" y="14380"/>
                </a:cubicBezTo>
                <a:cubicBezTo>
                  <a:pt x="12825" y="15126"/>
                  <a:pt x="13502" y="15737"/>
                  <a:pt x="14696" y="16302"/>
                </a:cubicBezTo>
                <a:cubicBezTo>
                  <a:pt x="15675" y="16764"/>
                  <a:pt x="16700" y="17667"/>
                  <a:pt x="17251" y="18189"/>
                </a:cubicBezTo>
                <a:cubicBezTo>
                  <a:pt x="15525" y="19697"/>
                  <a:pt x="13272" y="20618"/>
                  <a:pt x="10800" y="20618"/>
                </a:cubicBezTo>
                <a:moveTo>
                  <a:pt x="10800" y="0"/>
                </a:moveTo>
                <a:cubicBezTo>
                  <a:pt x="4835" y="0"/>
                  <a:pt x="0" y="4835"/>
                  <a:pt x="0" y="10800"/>
                </a:cubicBezTo>
                <a:cubicBezTo>
                  <a:pt x="0" y="16764"/>
                  <a:pt x="4835" y="21600"/>
                  <a:pt x="10800" y="21600"/>
                </a:cubicBezTo>
                <a:cubicBezTo>
                  <a:pt x="16765" y="21600"/>
                  <a:pt x="21600" y="16764"/>
                  <a:pt x="21600" y="10800"/>
                </a:cubicBezTo>
                <a:cubicBezTo>
                  <a:pt x="21600" y="4835"/>
                  <a:pt x="16765" y="0"/>
                  <a:pt x="10800" y="0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1</xdr:col>
      <xdr:colOff>60325</xdr:colOff>
      <xdr:row>21</xdr:row>
      <xdr:rowOff>934429</xdr:rowOff>
    </xdr:from>
    <xdr:to>
      <xdr:col>2</xdr:col>
      <xdr:colOff>1030978</xdr:colOff>
      <xdr:row>22</xdr:row>
      <xdr:rowOff>88510</xdr:rowOff>
    </xdr:to>
    <xdr:grpSp>
      <xdr:nvGrpSpPr>
        <xdr:cNvPr id="21" name="Groupe 20"/>
        <xdr:cNvGrpSpPr/>
      </xdr:nvGrpSpPr>
      <xdr:grpSpPr>
        <a:xfrm>
          <a:off x="263525" y="7170129"/>
          <a:ext cx="2481953" cy="652681"/>
          <a:chOff x="1489989" y="2569823"/>
          <a:chExt cx="2520053" cy="652744"/>
        </a:xfrm>
      </xdr:grpSpPr>
      <xdr:sp macro="" textlink="">
        <xdr:nvSpPr>
          <xdr:cNvPr id="42" name="ZoneTexte 10"/>
          <xdr:cNvSpPr txBox="1"/>
        </xdr:nvSpPr>
        <xdr:spPr>
          <a:xfrm>
            <a:off x="1796232" y="2569823"/>
            <a:ext cx="2213810" cy="6527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Auteur/Rédacteur</a:t>
            </a:r>
          </a:p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Pair/Validateur/Relecteur</a:t>
            </a:r>
          </a:p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Approbateur</a:t>
            </a:r>
          </a:p>
        </xdr:txBody>
      </xdr:sp>
      <xdr:sp macro="" textlink="">
        <xdr:nvSpPr>
          <xdr:cNvPr id="43" name="Shape 2617">
            <a:extLst>
              <a:ext uri="{FF2B5EF4-FFF2-40B4-BE49-F238E27FC236}">
                <a16:creationId xmlns:a16="http://schemas.microsoft.com/office/drawing/2014/main" id="{97AE5E7E-BEA7-4ADD-ABDA-5FF526125A2D}"/>
              </a:ext>
            </a:extLst>
          </xdr:cNvPr>
          <xdr:cNvSpPr/>
        </xdr:nvSpPr>
        <xdr:spPr>
          <a:xfrm>
            <a:off x="1489989" y="2802988"/>
            <a:ext cx="288000" cy="180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4457" y="20400"/>
                </a:moveTo>
                <a:cubicBezTo>
                  <a:pt x="4686" y="18711"/>
                  <a:pt x="5897" y="18036"/>
                  <a:pt x="7134" y="17493"/>
                </a:cubicBezTo>
                <a:lnTo>
                  <a:pt x="7173" y="17477"/>
                </a:lnTo>
                <a:cubicBezTo>
                  <a:pt x="8055" y="17190"/>
                  <a:pt x="9626" y="16039"/>
                  <a:pt x="9626" y="13569"/>
                </a:cubicBezTo>
                <a:cubicBezTo>
                  <a:pt x="9626" y="11474"/>
                  <a:pt x="8932" y="10452"/>
                  <a:pt x="8558" y="9902"/>
                </a:cubicBezTo>
                <a:cubicBezTo>
                  <a:pt x="8484" y="9791"/>
                  <a:pt x="8394" y="9649"/>
                  <a:pt x="8414" y="9680"/>
                </a:cubicBezTo>
                <a:cubicBezTo>
                  <a:pt x="8384" y="9599"/>
                  <a:pt x="8237" y="9129"/>
                  <a:pt x="8449" y="8035"/>
                </a:cubicBezTo>
                <a:cubicBezTo>
                  <a:pt x="8549" y="7522"/>
                  <a:pt x="8380" y="7241"/>
                  <a:pt x="8380" y="7241"/>
                </a:cubicBezTo>
                <a:cubicBezTo>
                  <a:pt x="8112" y="6505"/>
                  <a:pt x="7614" y="5133"/>
                  <a:pt x="7988" y="4025"/>
                </a:cubicBezTo>
                <a:cubicBezTo>
                  <a:pt x="8490" y="2492"/>
                  <a:pt x="8935" y="2190"/>
                  <a:pt x="9741" y="1747"/>
                </a:cubicBezTo>
                <a:cubicBezTo>
                  <a:pt x="9788" y="1721"/>
                  <a:pt x="9834" y="1691"/>
                  <a:pt x="9877" y="1657"/>
                </a:cubicBezTo>
                <a:cubicBezTo>
                  <a:pt x="10029" y="1535"/>
                  <a:pt x="10674" y="1200"/>
                  <a:pt x="11403" y="1200"/>
                </a:cubicBezTo>
                <a:cubicBezTo>
                  <a:pt x="11768" y="1200"/>
                  <a:pt x="12075" y="1285"/>
                  <a:pt x="12318" y="1454"/>
                </a:cubicBezTo>
                <a:cubicBezTo>
                  <a:pt x="12610" y="1655"/>
                  <a:pt x="12890" y="2039"/>
                  <a:pt x="13313" y="3271"/>
                </a:cubicBezTo>
                <a:cubicBezTo>
                  <a:pt x="14101" y="5469"/>
                  <a:pt x="13602" y="6698"/>
                  <a:pt x="13350" y="7124"/>
                </a:cubicBezTo>
                <a:cubicBezTo>
                  <a:pt x="13183" y="7407"/>
                  <a:pt x="13126" y="7764"/>
                  <a:pt x="13191" y="8102"/>
                </a:cubicBezTo>
                <a:cubicBezTo>
                  <a:pt x="13386" y="9109"/>
                  <a:pt x="13260" y="9534"/>
                  <a:pt x="13227" y="9619"/>
                </a:cubicBezTo>
                <a:cubicBezTo>
                  <a:pt x="13219" y="9631"/>
                  <a:pt x="13101" y="9814"/>
                  <a:pt x="13041" y="9902"/>
                </a:cubicBezTo>
                <a:cubicBezTo>
                  <a:pt x="12668" y="10452"/>
                  <a:pt x="11973" y="11474"/>
                  <a:pt x="11973" y="13569"/>
                </a:cubicBezTo>
                <a:cubicBezTo>
                  <a:pt x="11973" y="16039"/>
                  <a:pt x="13545" y="17190"/>
                  <a:pt x="14427" y="17477"/>
                </a:cubicBezTo>
                <a:lnTo>
                  <a:pt x="14466" y="17493"/>
                </a:lnTo>
                <a:cubicBezTo>
                  <a:pt x="15703" y="18036"/>
                  <a:pt x="16914" y="18711"/>
                  <a:pt x="17143" y="20400"/>
                </a:cubicBezTo>
                <a:cubicBezTo>
                  <a:pt x="17143" y="20400"/>
                  <a:pt x="4457" y="20400"/>
                  <a:pt x="4457" y="20400"/>
                </a:cubicBezTo>
                <a:close/>
                <a:moveTo>
                  <a:pt x="14715" y="16328"/>
                </a:moveTo>
                <a:cubicBezTo>
                  <a:pt x="14715" y="16328"/>
                  <a:pt x="12955" y="15815"/>
                  <a:pt x="12955" y="13569"/>
                </a:cubicBezTo>
                <a:cubicBezTo>
                  <a:pt x="12955" y="11596"/>
                  <a:pt x="13678" y="10901"/>
                  <a:pt x="13957" y="10421"/>
                </a:cubicBezTo>
                <a:cubicBezTo>
                  <a:pt x="13957" y="10421"/>
                  <a:pt x="14531" y="9807"/>
                  <a:pt x="14146" y="7826"/>
                </a:cubicBezTo>
                <a:cubicBezTo>
                  <a:pt x="14787" y="6740"/>
                  <a:pt x="14995" y="4972"/>
                  <a:pt x="14211" y="2789"/>
                </a:cubicBezTo>
                <a:cubicBezTo>
                  <a:pt x="13774" y="1514"/>
                  <a:pt x="13389" y="815"/>
                  <a:pt x="12801" y="409"/>
                </a:cubicBezTo>
                <a:cubicBezTo>
                  <a:pt x="12370" y="110"/>
                  <a:pt x="11880" y="0"/>
                  <a:pt x="11403" y="0"/>
                </a:cubicBezTo>
                <a:cubicBezTo>
                  <a:pt x="10516" y="0"/>
                  <a:pt x="9675" y="384"/>
                  <a:pt x="9339" y="653"/>
                </a:cubicBezTo>
                <a:cubicBezTo>
                  <a:pt x="8357" y="1192"/>
                  <a:pt x="7697" y="1688"/>
                  <a:pt x="7077" y="3579"/>
                </a:cubicBezTo>
                <a:cubicBezTo>
                  <a:pt x="6540" y="5168"/>
                  <a:pt x="7179" y="6892"/>
                  <a:pt x="7494" y="7758"/>
                </a:cubicBezTo>
                <a:cubicBezTo>
                  <a:pt x="7110" y="9740"/>
                  <a:pt x="7642" y="10421"/>
                  <a:pt x="7642" y="10421"/>
                </a:cubicBezTo>
                <a:cubicBezTo>
                  <a:pt x="7922" y="10901"/>
                  <a:pt x="8644" y="11596"/>
                  <a:pt x="8644" y="13569"/>
                </a:cubicBezTo>
                <a:cubicBezTo>
                  <a:pt x="8644" y="15815"/>
                  <a:pt x="6885" y="16328"/>
                  <a:pt x="6885" y="16328"/>
                </a:cubicBezTo>
                <a:cubicBezTo>
                  <a:pt x="5768" y="16819"/>
                  <a:pt x="3436" y="17760"/>
                  <a:pt x="3436" y="21000"/>
                </a:cubicBezTo>
                <a:cubicBezTo>
                  <a:pt x="3436" y="21000"/>
                  <a:pt x="3436" y="21600"/>
                  <a:pt x="3927" y="21600"/>
                </a:cubicBezTo>
                <a:lnTo>
                  <a:pt x="17673" y="21600"/>
                </a:lnTo>
                <a:cubicBezTo>
                  <a:pt x="18164" y="21600"/>
                  <a:pt x="18164" y="21000"/>
                  <a:pt x="18164" y="21000"/>
                </a:cubicBezTo>
                <a:cubicBezTo>
                  <a:pt x="18164" y="17760"/>
                  <a:pt x="15832" y="16819"/>
                  <a:pt x="14715" y="16328"/>
                </a:cubicBezTo>
                <a:moveTo>
                  <a:pt x="19516" y="15006"/>
                </a:moveTo>
                <a:cubicBezTo>
                  <a:pt x="19516" y="15006"/>
                  <a:pt x="18416" y="14701"/>
                  <a:pt x="18416" y="12954"/>
                </a:cubicBezTo>
                <a:cubicBezTo>
                  <a:pt x="18416" y="11419"/>
                  <a:pt x="18794" y="10879"/>
                  <a:pt x="19017" y="10506"/>
                </a:cubicBezTo>
                <a:cubicBezTo>
                  <a:pt x="19017" y="10506"/>
                  <a:pt x="19443" y="9975"/>
                  <a:pt x="19136" y="8435"/>
                </a:cubicBezTo>
                <a:cubicBezTo>
                  <a:pt x="19388" y="7760"/>
                  <a:pt x="19900" y="6419"/>
                  <a:pt x="19470" y="5184"/>
                </a:cubicBezTo>
                <a:cubicBezTo>
                  <a:pt x="18974" y="3714"/>
                  <a:pt x="18645" y="3327"/>
                  <a:pt x="17860" y="2908"/>
                </a:cubicBezTo>
                <a:cubicBezTo>
                  <a:pt x="17591" y="2699"/>
                  <a:pt x="16918" y="2400"/>
                  <a:pt x="16208" y="2400"/>
                </a:cubicBezTo>
                <a:cubicBezTo>
                  <a:pt x="15873" y="2400"/>
                  <a:pt x="15531" y="2473"/>
                  <a:pt x="15218" y="2647"/>
                </a:cubicBezTo>
                <a:cubicBezTo>
                  <a:pt x="15343" y="3035"/>
                  <a:pt x="15449" y="3420"/>
                  <a:pt x="15525" y="3799"/>
                </a:cubicBezTo>
                <a:cubicBezTo>
                  <a:pt x="15537" y="3790"/>
                  <a:pt x="15550" y="3779"/>
                  <a:pt x="15563" y="3770"/>
                </a:cubicBezTo>
                <a:cubicBezTo>
                  <a:pt x="15730" y="3657"/>
                  <a:pt x="15948" y="3600"/>
                  <a:pt x="16208" y="3600"/>
                </a:cubicBezTo>
                <a:cubicBezTo>
                  <a:pt x="16716" y="3600"/>
                  <a:pt x="17211" y="3825"/>
                  <a:pt x="17332" y="3919"/>
                </a:cubicBezTo>
                <a:cubicBezTo>
                  <a:pt x="17375" y="3953"/>
                  <a:pt x="17421" y="3983"/>
                  <a:pt x="17467" y="4008"/>
                </a:cubicBezTo>
                <a:cubicBezTo>
                  <a:pt x="17950" y="4265"/>
                  <a:pt x="18131" y="4362"/>
                  <a:pt x="18562" y="5641"/>
                </a:cubicBezTo>
                <a:cubicBezTo>
                  <a:pt x="18822" y="6387"/>
                  <a:pt x="18452" y="7378"/>
                  <a:pt x="18253" y="7911"/>
                </a:cubicBezTo>
                <a:cubicBezTo>
                  <a:pt x="18161" y="8156"/>
                  <a:pt x="18130" y="8457"/>
                  <a:pt x="18182" y="8718"/>
                </a:cubicBezTo>
                <a:cubicBezTo>
                  <a:pt x="18316" y="9392"/>
                  <a:pt x="18254" y="9706"/>
                  <a:pt x="18232" y="9784"/>
                </a:cubicBezTo>
                <a:cubicBezTo>
                  <a:pt x="18230" y="9788"/>
                  <a:pt x="18227" y="9793"/>
                  <a:pt x="18224" y="9798"/>
                </a:cubicBezTo>
                <a:lnTo>
                  <a:pt x="18191" y="9853"/>
                </a:lnTo>
                <a:cubicBezTo>
                  <a:pt x="17926" y="10290"/>
                  <a:pt x="17434" y="11106"/>
                  <a:pt x="17434" y="12954"/>
                </a:cubicBezTo>
                <a:cubicBezTo>
                  <a:pt x="17434" y="15019"/>
                  <a:pt x="18570" y="15933"/>
                  <a:pt x="19229" y="16155"/>
                </a:cubicBezTo>
                <a:cubicBezTo>
                  <a:pt x="19856" y="16429"/>
                  <a:pt x="20435" y="16859"/>
                  <a:pt x="20582" y="17999"/>
                </a:cubicBezTo>
                <a:lnTo>
                  <a:pt x="18459" y="18000"/>
                </a:lnTo>
                <a:cubicBezTo>
                  <a:pt x="18647" y="18353"/>
                  <a:pt x="18802" y="18755"/>
                  <a:pt x="18920" y="19200"/>
                </a:cubicBezTo>
                <a:lnTo>
                  <a:pt x="21109" y="19199"/>
                </a:lnTo>
                <a:cubicBezTo>
                  <a:pt x="21600" y="19199"/>
                  <a:pt x="21600" y="18599"/>
                  <a:pt x="21600" y="18599"/>
                </a:cubicBezTo>
                <a:cubicBezTo>
                  <a:pt x="21600" y="16199"/>
                  <a:pt x="20410" y="15388"/>
                  <a:pt x="19516" y="15006"/>
                </a:cubicBezTo>
                <a:moveTo>
                  <a:pt x="2371" y="16155"/>
                </a:moveTo>
                <a:cubicBezTo>
                  <a:pt x="3030" y="15933"/>
                  <a:pt x="4166" y="15019"/>
                  <a:pt x="4166" y="12954"/>
                </a:cubicBezTo>
                <a:cubicBezTo>
                  <a:pt x="4166" y="11106"/>
                  <a:pt x="3673" y="10290"/>
                  <a:pt x="3409" y="9853"/>
                </a:cubicBezTo>
                <a:lnTo>
                  <a:pt x="3376" y="9798"/>
                </a:lnTo>
                <a:cubicBezTo>
                  <a:pt x="3373" y="9793"/>
                  <a:pt x="3370" y="9788"/>
                  <a:pt x="3367" y="9784"/>
                </a:cubicBezTo>
                <a:cubicBezTo>
                  <a:pt x="3346" y="9706"/>
                  <a:pt x="3283" y="9392"/>
                  <a:pt x="3418" y="8718"/>
                </a:cubicBezTo>
                <a:cubicBezTo>
                  <a:pt x="3470" y="8457"/>
                  <a:pt x="3439" y="8156"/>
                  <a:pt x="3347" y="7911"/>
                </a:cubicBezTo>
                <a:cubicBezTo>
                  <a:pt x="3148" y="7378"/>
                  <a:pt x="2778" y="6387"/>
                  <a:pt x="3038" y="5641"/>
                </a:cubicBezTo>
                <a:cubicBezTo>
                  <a:pt x="3469" y="4362"/>
                  <a:pt x="3649" y="4265"/>
                  <a:pt x="4133" y="4008"/>
                </a:cubicBezTo>
                <a:cubicBezTo>
                  <a:pt x="4180" y="3983"/>
                  <a:pt x="4225" y="3953"/>
                  <a:pt x="4268" y="3919"/>
                </a:cubicBezTo>
                <a:cubicBezTo>
                  <a:pt x="4389" y="3825"/>
                  <a:pt x="4884" y="3600"/>
                  <a:pt x="5392" y="3600"/>
                </a:cubicBezTo>
                <a:cubicBezTo>
                  <a:pt x="5636" y="3600"/>
                  <a:pt x="5839" y="3655"/>
                  <a:pt x="6002" y="3755"/>
                </a:cubicBezTo>
                <a:cubicBezTo>
                  <a:pt x="6045" y="3548"/>
                  <a:pt x="6096" y="3341"/>
                  <a:pt x="6165" y="3134"/>
                </a:cubicBezTo>
                <a:cubicBezTo>
                  <a:pt x="6225" y="2950"/>
                  <a:pt x="6289" y="2793"/>
                  <a:pt x="6351" y="2630"/>
                </a:cubicBezTo>
                <a:cubicBezTo>
                  <a:pt x="6046" y="2468"/>
                  <a:pt x="5716" y="2400"/>
                  <a:pt x="5392" y="2400"/>
                </a:cubicBezTo>
                <a:cubicBezTo>
                  <a:pt x="4682" y="2400"/>
                  <a:pt x="4009" y="2699"/>
                  <a:pt x="3740" y="2908"/>
                </a:cubicBezTo>
                <a:cubicBezTo>
                  <a:pt x="2955" y="3327"/>
                  <a:pt x="2625" y="3714"/>
                  <a:pt x="2130" y="5184"/>
                </a:cubicBezTo>
                <a:cubicBezTo>
                  <a:pt x="1700" y="6419"/>
                  <a:pt x="2212" y="7760"/>
                  <a:pt x="2464" y="8435"/>
                </a:cubicBezTo>
                <a:cubicBezTo>
                  <a:pt x="2156" y="9975"/>
                  <a:pt x="2583" y="10506"/>
                  <a:pt x="2583" y="10506"/>
                </a:cubicBezTo>
                <a:cubicBezTo>
                  <a:pt x="2806" y="10879"/>
                  <a:pt x="3185" y="11419"/>
                  <a:pt x="3185" y="12954"/>
                </a:cubicBezTo>
                <a:cubicBezTo>
                  <a:pt x="3185" y="14701"/>
                  <a:pt x="2084" y="15006"/>
                  <a:pt x="2084" y="15006"/>
                </a:cubicBezTo>
                <a:cubicBezTo>
                  <a:pt x="1191" y="15388"/>
                  <a:pt x="0" y="16199"/>
                  <a:pt x="0" y="18599"/>
                </a:cubicBezTo>
                <a:cubicBezTo>
                  <a:pt x="0" y="18599"/>
                  <a:pt x="0" y="19199"/>
                  <a:pt x="491" y="19199"/>
                </a:cubicBezTo>
                <a:lnTo>
                  <a:pt x="2680" y="19200"/>
                </a:lnTo>
                <a:cubicBezTo>
                  <a:pt x="2798" y="18755"/>
                  <a:pt x="2952" y="18353"/>
                  <a:pt x="3141" y="18000"/>
                </a:cubicBezTo>
                <a:lnTo>
                  <a:pt x="1018" y="17999"/>
                </a:lnTo>
                <a:cubicBezTo>
                  <a:pt x="1165" y="16859"/>
                  <a:pt x="1744" y="16429"/>
                  <a:pt x="2371" y="16155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1</xdr:col>
      <xdr:colOff>85293</xdr:colOff>
      <xdr:row>25</xdr:row>
      <xdr:rowOff>1630133</xdr:rowOff>
    </xdr:from>
    <xdr:to>
      <xdr:col>1</xdr:col>
      <xdr:colOff>1432719</xdr:colOff>
      <xdr:row>25</xdr:row>
      <xdr:rowOff>1907132</xdr:rowOff>
    </xdr:to>
    <xdr:grpSp>
      <xdr:nvGrpSpPr>
        <xdr:cNvPr id="22" name="Groupe 21"/>
        <xdr:cNvGrpSpPr/>
      </xdr:nvGrpSpPr>
      <xdr:grpSpPr>
        <a:xfrm>
          <a:off x="288493" y="11713933"/>
          <a:ext cx="1347426" cy="276999"/>
          <a:chOff x="1561989" y="5288665"/>
          <a:chExt cx="1386696" cy="276999"/>
        </a:xfrm>
      </xdr:grpSpPr>
      <xdr:sp macro="" textlink="">
        <xdr:nvSpPr>
          <xdr:cNvPr id="40" name="Rectangle 39"/>
          <xdr:cNvSpPr/>
        </xdr:nvSpPr>
        <xdr:spPr>
          <a:xfrm>
            <a:off x="1793067" y="5288665"/>
            <a:ext cx="1155618" cy="276999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Approbateur</a:t>
            </a:r>
          </a:p>
        </xdr:txBody>
      </xdr:sp>
      <xdr:sp macro="" textlink="">
        <xdr:nvSpPr>
          <xdr:cNvPr id="41" name="Shape 2614">
            <a:extLst>
              <a:ext uri="{FF2B5EF4-FFF2-40B4-BE49-F238E27FC236}">
                <a16:creationId xmlns:a16="http://schemas.microsoft.com/office/drawing/2014/main" id="{93991CFC-0E83-4712-8E8E-C8FE46952B29}"/>
              </a:ext>
            </a:extLst>
          </xdr:cNvPr>
          <xdr:cNvSpPr/>
        </xdr:nvSpPr>
        <xdr:spPr>
          <a:xfrm>
            <a:off x="1561989" y="5319163"/>
            <a:ext cx="216000" cy="216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17958" y="17505"/>
                </a:moveTo>
                <a:cubicBezTo>
                  <a:pt x="17372" y="16944"/>
                  <a:pt x="16242" y="15945"/>
                  <a:pt x="15117" y="15413"/>
                </a:cubicBezTo>
                <a:cubicBezTo>
                  <a:pt x="14189" y="14975"/>
                  <a:pt x="13657" y="14531"/>
                  <a:pt x="13491" y="14057"/>
                </a:cubicBezTo>
                <a:cubicBezTo>
                  <a:pt x="13377" y="13728"/>
                  <a:pt x="13428" y="13351"/>
                  <a:pt x="13649" y="12904"/>
                </a:cubicBezTo>
                <a:cubicBezTo>
                  <a:pt x="13815" y="12567"/>
                  <a:pt x="13972" y="12286"/>
                  <a:pt x="14117" y="12028"/>
                </a:cubicBezTo>
                <a:cubicBezTo>
                  <a:pt x="14730" y="10934"/>
                  <a:pt x="15203" y="10145"/>
                  <a:pt x="15203" y="7348"/>
                </a:cubicBezTo>
                <a:cubicBezTo>
                  <a:pt x="15203" y="3162"/>
                  <a:pt x="12787" y="2951"/>
                  <a:pt x="12309" y="2951"/>
                </a:cubicBezTo>
                <a:cubicBezTo>
                  <a:pt x="11917" y="2951"/>
                  <a:pt x="11672" y="3037"/>
                  <a:pt x="11435" y="3121"/>
                </a:cubicBezTo>
                <a:cubicBezTo>
                  <a:pt x="11175" y="3213"/>
                  <a:pt x="10907" y="3309"/>
                  <a:pt x="10296" y="3319"/>
                </a:cubicBezTo>
                <a:cubicBezTo>
                  <a:pt x="9190" y="3337"/>
                  <a:pt x="6873" y="3375"/>
                  <a:pt x="6873" y="7226"/>
                </a:cubicBezTo>
                <a:cubicBezTo>
                  <a:pt x="6873" y="9919"/>
                  <a:pt x="7574" y="11156"/>
                  <a:pt x="8125" y="12150"/>
                </a:cubicBezTo>
                <a:cubicBezTo>
                  <a:pt x="8266" y="12404"/>
                  <a:pt x="8399" y="12645"/>
                  <a:pt x="8505" y="12885"/>
                </a:cubicBezTo>
                <a:cubicBezTo>
                  <a:pt x="8973" y="13949"/>
                  <a:pt x="8631" y="14693"/>
                  <a:pt x="7426" y="15224"/>
                </a:cubicBezTo>
                <a:cubicBezTo>
                  <a:pt x="5905" y="15897"/>
                  <a:pt x="5188" y="16247"/>
                  <a:pt x="3693" y="17562"/>
                </a:cubicBezTo>
                <a:cubicBezTo>
                  <a:pt x="2017" y="15800"/>
                  <a:pt x="982" y="13423"/>
                  <a:pt x="982" y="10800"/>
                </a:cubicBezTo>
                <a:cubicBezTo>
                  <a:pt x="982" y="5377"/>
                  <a:pt x="5377" y="982"/>
                  <a:pt x="10800" y="982"/>
                </a:cubicBezTo>
                <a:cubicBezTo>
                  <a:pt x="16223" y="982"/>
                  <a:pt x="20618" y="5377"/>
                  <a:pt x="20618" y="10800"/>
                </a:cubicBezTo>
                <a:cubicBezTo>
                  <a:pt x="20618" y="13395"/>
                  <a:pt x="19603" y="15749"/>
                  <a:pt x="17958" y="17505"/>
                </a:cubicBezTo>
                <a:moveTo>
                  <a:pt x="10800" y="20618"/>
                </a:moveTo>
                <a:cubicBezTo>
                  <a:pt x="8356" y="20618"/>
                  <a:pt x="6125" y="19720"/>
                  <a:pt x="4407" y="18242"/>
                </a:cubicBezTo>
                <a:cubicBezTo>
                  <a:pt x="5730" y="17084"/>
                  <a:pt x="6362" y="16767"/>
                  <a:pt x="7823" y="16122"/>
                </a:cubicBezTo>
                <a:cubicBezTo>
                  <a:pt x="9515" y="15375"/>
                  <a:pt x="10091" y="14051"/>
                  <a:pt x="9403" y="12489"/>
                </a:cubicBezTo>
                <a:cubicBezTo>
                  <a:pt x="9279" y="12208"/>
                  <a:pt x="9136" y="11949"/>
                  <a:pt x="8984" y="11674"/>
                </a:cubicBezTo>
                <a:cubicBezTo>
                  <a:pt x="8461" y="10732"/>
                  <a:pt x="7855" y="9665"/>
                  <a:pt x="7855" y="7226"/>
                </a:cubicBezTo>
                <a:cubicBezTo>
                  <a:pt x="7855" y="4341"/>
                  <a:pt x="9224" y="4318"/>
                  <a:pt x="10312" y="4300"/>
                </a:cubicBezTo>
                <a:cubicBezTo>
                  <a:pt x="11084" y="4287"/>
                  <a:pt x="11461" y="4154"/>
                  <a:pt x="11763" y="4047"/>
                </a:cubicBezTo>
                <a:cubicBezTo>
                  <a:pt x="11964" y="3975"/>
                  <a:pt x="12086" y="3933"/>
                  <a:pt x="12309" y="3933"/>
                </a:cubicBezTo>
                <a:cubicBezTo>
                  <a:pt x="13218" y="3933"/>
                  <a:pt x="14221" y="4830"/>
                  <a:pt x="14221" y="7348"/>
                </a:cubicBezTo>
                <a:cubicBezTo>
                  <a:pt x="14221" y="9888"/>
                  <a:pt x="13840" y="10513"/>
                  <a:pt x="13261" y="11548"/>
                </a:cubicBezTo>
                <a:cubicBezTo>
                  <a:pt x="13108" y="11820"/>
                  <a:pt x="12943" y="12115"/>
                  <a:pt x="12768" y="12470"/>
                </a:cubicBezTo>
                <a:cubicBezTo>
                  <a:pt x="12430" y="13155"/>
                  <a:pt x="12362" y="13798"/>
                  <a:pt x="12565" y="14380"/>
                </a:cubicBezTo>
                <a:cubicBezTo>
                  <a:pt x="12825" y="15126"/>
                  <a:pt x="13502" y="15737"/>
                  <a:pt x="14696" y="16302"/>
                </a:cubicBezTo>
                <a:cubicBezTo>
                  <a:pt x="15675" y="16764"/>
                  <a:pt x="16700" y="17667"/>
                  <a:pt x="17251" y="18189"/>
                </a:cubicBezTo>
                <a:cubicBezTo>
                  <a:pt x="15525" y="19697"/>
                  <a:pt x="13272" y="20618"/>
                  <a:pt x="10800" y="20618"/>
                </a:cubicBezTo>
                <a:moveTo>
                  <a:pt x="10800" y="0"/>
                </a:moveTo>
                <a:cubicBezTo>
                  <a:pt x="4835" y="0"/>
                  <a:pt x="0" y="4835"/>
                  <a:pt x="0" y="10800"/>
                </a:cubicBezTo>
                <a:cubicBezTo>
                  <a:pt x="0" y="16764"/>
                  <a:pt x="4835" y="21600"/>
                  <a:pt x="10800" y="21600"/>
                </a:cubicBezTo>
                <a:cubicBezTo>
                  <a:pt x="16765" y="21600"/>
                  <a:pt x="21600" y="16764"/>
                  <a:pt x="21600" y="10800"/>
                </a:cubicBezTo>
                <a:cubicBezTo>
                  <a:pt x="21600" y="4835"/>
                  <a:pt x="16765" y="0"/>
                  <a:pt x="10800" y="0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1</xdr:col>
      <xdr:colOff>60325</xdr:colOff>
      <xdr:row>24</xdr:row>
      <xdr:rowOff>963401</xdr:rowOff>
    </xdr:from>
    <xdr:to>
      <xdr:col>2</xdr:col>
      <xdr:colOff>809625</xdr:colOff>
      <xdr:row>25</xdr:row>
      <xdr:rowOff>224400</xdr:rowOff>
    </xdr:to>
    <xdr:grpSp>
      <xdr:nvGrpSpPr>
        <xdr:cNvPr id="23" name="Groupe 22"/>
        <xdr:cNvGrpSpPr/>
      </xdr:nvGrpSpPr>
      <xdr:grpSpPr>
        <a:xfrm>
          <a:off x="263525" y="10031201"/>
          <a:ext cx="2260600" cy="276999"/>
          <a:chOff x="1489989" y="4264827"/>
          <a:chExt cx="2274143" cy="276999"/>
        </a:xfrm>
      </xdr:grpSpPr>
      <xdr:sp macro="" textlink="">
        <xdr:nvSpPr>
          <xdr:cNvPr id="38" name="Rectangle 37"/>
          <xdr:cNvSpPr/>
        </xdr:nvSpPr>
        <xdr:spPr>
          <a:xfrm>
            <a:off x="1793067" y="4264827"/>
            <a:ext cx="1971065" cy="276999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 eaLnBrk="1" latinLnBrk="0" hangingPunct="1"/>
            <a:r>
              <a:rPr lang="fr-FR" sz="1200" i="1" kern="1200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Pair/Validateur/Relecteur</a:t>
            </a:r>
          </a:p>
        </xdr:txBody>
      </xdr:sp>
      <xdr:sp macro="" textlink="">
        <xdr:nvSpPr>
          <xdr:cNvPr id="39" name="Shape 2617">
            <a:extLst>
              <a:ext uri="{FF2B5EF4-FFF2-40B4-BE49-F238E27FC236}">
                <a16:creationId xmlns:a16="http://schemas.microsoft.com/office/drawing/2014/main" id="{97AE5E7E-BEA7-4ADD-ABDA-5FF526125A2D}"/>
              </a:ext>
            </a:extLst>
          </xdr:cNvPr>
          <xdr:cNvSpPr/>
        </xdr:nvSpPr>
        <xdr:spPr>
          <a:xfrm>
            <a:off x="1489989" y="4313326"/>
            <a:ext cx="288000" cy="180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4457" y="20400"/>
                </a:moveTo>
                <a:cubicBezTo>
                  <a:pt x="4686" y="18711"/>
                  <a:pt x="5897" y="18036"/>
                  <a:pt x="7134" y="17493"/>
                </a:cubicBezTo>
                <a:lnTo>
                  <a:pt x="7173" y="17477"/>
                </a:lnTo>
                <a:cubicBezTo>
                  <a:pt x="8055" y="17190"/>
                  <a:pt x="9626" y="16039"/>
                  <a:pt x="9626" y="13569"/>
                </a:cubicBezTo>
                <a:cubicBezTo>
                  <a:pt x="9626" y="11474"/>
                  <a:pt x="8932" y="10452"/>
                  <a:pt x="8558" y="9902"/>
                </a:cubicBezTo>
                <a:cubicBezTo>
                  <a:pt x="8484" y="9791"/>
                  <a:pt x="8394" y="9649"/>
                  <a:pt x="8414" y="9680"/>
                </a:cubicBezTo>
                <a:cubicBezTo>
                  <a:pt x="8384" y="9599"/>
                  <a:pt x="8237" y="9129"/>
                  <a:pt x="8449" y="8035"/>
                </a:cubicBezTo>
                <a:cubicBezTo>
                  <a:pt x="8549" y="7522"/>
                  <a:pt x="8380" y="7241"/>
                  <a:pt x="8380" y="7241"/>
                </a:cubicBezTo>
                <a:cubicBezTo>
                  <a:pt x="8112" y="6505"/>
                  <a:pt x="7614" y="5133"/>
                  <a:pt x="7988" y="4025"/>
                </a:cubicBezTo>
                <a:cubicBezTo>
                  <a:pt x="8490" y="2492"/>
                  <a:pt x="8935" y="2190"/>
                  <a:pt x="9741" y="1747"/>
                </a:cubicBezTo>
                <a:cubicBezTo>
                  <a:pt x="9788" y="1721"/>
                  <a:pt x="9834" y="1691"/>
                  <a:pt x="9877" y="1657"/>
                </a:cubicBezTo>
                <a:cubicBezTo>
                  <a:pt x="10029" y="1535"/>
                  <a:pt x="10674" y="1200"/>
                  <a:pt x="11403" y="1200"/>
                </a:cubicBezTo>
                <a:cubicBezTo>
                  <a:pt x="11768" y="1200"/>
                  <a:pt x="12075" y="1285"/>
                  <a:pt x="12318" y="1454"/>
                </a:cubicBezTo>
                <a:cubicBezTo>
                  <a:pt x="12610" y="1655"/>
                  <a:pt x="12890" y="2039"/>
                  <a:pt x="13313" y="3271"/>
                </a:cubicBezTo>
                <a:cubicBezTo>
                  <a:pt x="14101" y="5469"/>
                  <a:pt x="13602" y="6698"/>
                  <a:pt x="13350" y="7124"/>
                </a:cubicBezTo>
                <a:cubicBezTo>
                  <a:pt x="13183" y="7407"/>
                  <a:pt x="13126" y="7764"/>
                  <a:pt x="13191" y="8102"/>
                </a:cubicBezTo>
                <a:cubicBezTo>
                  <a:pt x="13386" y="9109"/>
                  <a:pt x="13260" y="9534"/>
                  <a:pt x="13227" y="9619"/>
                </a:cubicBezTo>
                <a:cubicBezTo>
                  <a:pt x="13219" y="9631"/>
                  <a:pt x="13101" y="9814"/>
                  <a:pt x="13041" y="9902"/>
                </a:cubicBezTo>
                <a:cubicBezTo>
                  <a:pt x="12668" y="10452"/>
                  <a:pt x="11973" y="11474"/>
                  <a:pt x="11973" y="13569"/>
                </a:cubicBezTo>
                <a:cubicBezTo>
                  <a:pt x="11973" y="16039"/>
                  <a:pt x="13545" y="17190"/>
                  <a:pt x="14427" y="17477"/>
                </a:cubicBezTo>
                <a:lnTo>
                  <a:pt x="14466" y="17493"/>
                </a:lnTo>
                <a:cubicBezTo>
                  <a:pt x="15703" y="18036"/>
                  <a:pt x="16914" y="18711"/>
                  <a:pt x="17143" y="20400"/>
                </a:cubicBezTo>
                <a:cubicBezTo>
                  <a:pt x="17143" y="20400"/>
                  <a:pt x="4457" y="20400"/>
                  <a:pt x="4457" y="20400"/>
                </a:cubicBezTo>
                <a:close/>
                <a:moveTo>
                  <a:pt x="14715" y="16328"/>
                </a:moveTo>
                <a:cubicBezTo>
                  <a:pt x="14715" y="16328"/>
                  <a:pt x="12955" y="15815"/>
                  <a:pt x="12955" y="13569"/>
                </a:cubicBezTo>
                <a:cubicBezTo>
                  <a:pt x="12955" y="11596"/>
                  <a:pt x="13678" y="10901"/>
                  <a:pt x="13957" y="10421"/>
                </a:cubicBezTo>
                <a:cubicBezTo>
                  <a:pt x="13957" y="10421"/>
                  <a:pt x="14531" y="9807"/>
                  <a:pt x="14146" y="7826"/>
                </a:cubicBezTo>
                <a:cubicBezTo>
                  <a:pt x="14787" y="6740"/>
                  <a:pt x="14995" y="4972"/>
                  <a:pt x="14211" y="2789"/>
                </a:cubicBezTo>
                <a:cubicBezTo>
                  <a:pt x="13774" y="1514"/>
                  <a:pt x="13389" y="815"/>
                  <a:pt x="12801" y="409"/>
                </a:cubicBezTo>
                <a:cubicBezTo>
                  <a:pt x="12370" y="110"/>
                  <a:pt x="11880" y="0"/>
                  <a:pt x="11403" y="0"/>
                </a:cubicBezTo>
                <a:cubicBezTo>
                  <a:pt x="10516" y="0"/>
                  <a:pt x="9675" y="384"/>
                  <a:pt x="9339" y="653"/>
                </a:cubicBezTo>
                <a:cubicBezTo>
                  <a:pt x="8357" y="1192"/>
                  <a:pt x="7697" y="1688"/>
                  <a:pt x="7077" y="3579"/>
                </a:cubicBezTo>
                <a:cubicBezTo>
                  <a:pt x="6540" y="5168"/>
                  <a:pt x="7179" y="6892"/>
                  <a:pt x="7494" y="7758"/>
                </a:cubicBezTo>
                <a:cubicBezTo>
                  <a:pt x="7110" y="9740"/>
                  <a:pt x="7642" y="10421"/>
                  <a:pt x="7642" y="10421"/>
                </a:cubicBezTo>
                <a:cubicBezTo>
                  <a:pt x="7922" y="10901"/>
                  <a:pt x="8644" y="11596"/>
                  <a:pt x="8644" y="13569"/>
                </a:cubicBezTo>
                <a:cubicBezTo>
                  <a:pt x="8644" y="15815"/>
                  <a:pt x="6885" y="16328"/>
                  <a:pt x="6885" y="16328"/>
                </a:cubicBezTo>
                <a:cubicBezTo>
                  <a:pt x="5768" y="16819"/>
                  <a:pt x="3436" y="17760"/>
                  <a:pt x="3436" y="21000"/>
                </a:cubicBezTo>
                <a:cubicBezTo>
                  <a:pt x="3436" y="21000"/>
                  <a:pt x="3436" y="21600"/>
                  <a:pt x="3927" y="21600"/>
                </a:cubicBezTo>
                <a:lnTo>
                  <a:pt x="17673" y="21600"/>
                </a:lnTo>
                <a:cubicBezTo>
                  <a:pt x="18164" y="21600"/>
                  <a:pt x="18164" y="21000"/>
                  <a:pt x="18164" y="21000"/>
                </a:cubicBezTo>
                <a:cubicBezTo>
                  <a:pt x="18164" y="17760"/>
                  <a:pt x="15832" y="16819"/>
                  <a:pt x="14715" y="16328"/>
                </a:cubicBezTo>
                <a:moveTo>
                  <a:pt x="19516" y="15006"/>
                </a:moveTo>
                <a:cubicBezTo>
                  <a:pt x="19516" y="15006"/>
                  <a:pt x="18416" y="14701"/>
                  <a:pt x="18416" y="12954"/>
                </a:cubicBezTo>
                <a:cubicBezTo>
                  <a:pt x="18416" y="11419"/>
                  <a:pt x="18794" y="10879"/>
                  <a:pt x="19017" y="10506"/>
                </a:cubicBezTo>
                <a:cubicBezTo>
                  <a:pt x="19017" y="10506"/>
                  <a:pt x="19443" y="9975"/>
                  <a:pt x="19136" y="8435"/>
                </a:cubicBezTo>
                <a:cubicBezTo>
                  <a:pt x="19388" y="7760"/>
                  <a:pt x="19900" y="6419"/>
                  <a:pt x="19470" y="5184"/>
                </a:cubicBezTo>
                <a:cubicBezTo>
                  <a:pt x="18974" y="3714"/>
                  <a:pt x="18645" y="3327"/>
                  <a:pt x="17860" y="2908"/>
                </a:cubicBezTo>
                <a:cubicBezTo>
                  <a:pt x="17591" y="2699"/>
                  <a:pt x="16918" y="2400"/>
                  <a:pt x="16208" y="2400"/>
                </a:cubicBezTo>
                <a:cubicBezTo>
                  <a:pt x="15873" y="2400"/>
                  <a:pt x="15531" y="2473"/>
                  <a:pt x="15218" y="2647"/>
                </a:cubicBezTo>
                <a:cubicBezTo>
                  <a:pt x="15343" y="3035"/>
                  <a:pt x="15449" y="3420"/>
                  <a:pt x="15525" y="3799"/>
                </a:cubicBezTo>
                <a:cubicBezTo>
                  <a:pt x="15537" y="3790"/>
                  <a:pt x="15550" y="3779"/>
                  <a:pt x="15563" y="3770"/>
                </a:cubicBezTo>
                <a:cubicBezTo>
                  <a:pt x="15730" y="3657"/>
                  <a:pt x="15948" y="3600"/>
                  <a:pt x="16208" y="3600"/>
                </a:cubicBezTo>
                <a:cubicBezTo>
                  <a:pt x="16716" y="3600"/>
                  <a:pt x="17211" y="3825"/>
                  <a:pt x="17332" y="3919"/>
                </a:cubicBezTo>
                <a:cubicBezTo>
                  <a:pt x="17375" y="3953"/>
                  <a:pt x="17421" y="3983"/>
                  <a:pt x="17467" y="4008"/>
                </a:cubicBezTo>
                <a:cubicBezTo>
                  <a:pt x="17950" y="4265"/>
                  <a:pt x="18131" y="4362"/>
                  <a:pt x="18562" y="5641"/>
                </a:cubicBezTo>
                <a:cubicBezTo>
                  <a:pt x="18822" y="6387"/>
                  <a:pt x="18452" y="7378"/>
                  <a:pt x="18253" y="7911"/>
                </a:cubicBezTo>
                <a:cubicBezTo>
                  <a:pt x="18161" y="8156"/>
                  <a:pt x="18130" y="8457"/>
                  <a:pt x="18182" y="8718"/>
                </a:cubicBezTo>
                <a:cubicBezTo>
                  <a:pt x="18316" y="9392"/>
                  <a:pt x="18254" y="9706"/>
                  <a:pt x="18232" y="9784"/>
                </a:cubicBezTo>
                <a:cubicBezTo>
                  <a:pt x="18230" y="9788"/>
                  <a:pt x="18227" y="9793"/>
                  <a:pt x="18224" y="9798"/>
                </a:cubicBezTo>
                <a:lnTo>
                  <a:pt x="18191" y="9853"/>
                </a:lnTo>
                <a:cubicBezTo>
                  <a:pt x="17926" y="10290"/>
                  <a:pt x="17434" y="11106"/>
                  <a:pt x="17434" y="12954"/>
                </a:cubicBezTo>
                <a:cubicBezTo>
                  <a:pt x="17434" y="15019"/>
                  <a:pt x="18570" y="15933"/>
                  <a:pt x="19229" y="16155"/>
                </a:cubicBezTo>
                <a:cubicBezTo>
                  <a:pt x="19856" y="16429"/>
                  <a:pt x="20435" y="16859"/>
                  <a:pt x="20582" y="17999"/>
                </a:cubicBezTo>
                <a:lnTo>
                  <a:pt x="18459" y="18000"/>
                </a:lnTo>
                <a:cubicBezTo>
                  <a:pt x="18647" y="18353"/>
                  <a:pt x="18802" y="18755"/>
                  <a:pt x="18920" y="19200"/>
                </a:cubicBezTo>
                <a:lnTo>
                  <a:pt x="21109" y="19199"/>
                </a:lnTo>
                <a:cubicBezTo>
                  <a:pt x="21600" y="19199"/>
                  <a:pt x="21600" y="18599"/>
                  <a:pt x="21600" y="18599"/>
                </a:cubicBezTo>
                <a:cubicBezTo>
                  <a:pt x="21600" y="16199"/>
                  <a:pt x="20410" y="15388"/>
                  <a:pt x="19516" y="15006"/>
                </a:cubicBezTo>
                <a:moveTo>
                  <a:pt x="2371" y="16155"/>
                </a:moveTo>
                <a:cubicBezTo>
                  <a:pt x="3030" y="15933"/>
                  <a:pt x="4166" y="15019"/>
                  <a:pt x="4166" y="12954"/>
                </a:cubicBezTo>
                <a:cubicBezTo>
                  <a:pt x="4166" y="11106"/>
                  <a:pt x="3673" y="10290"/>
                  <a:pt x="3409" y="9853"/>
                </a:cubicBezTo>
                <a:lnTo>
                  <a:pt x="3376" y="9798"/>
                </a:lnTo>
                <a:cubicBezTo>
                  <a:pt x="3373" y="9793"/>
                  <a:pt x="3370" y="9788"/>
                  <a:pt x="3367" y="9784"/>
                </a:cubicBezTo>
                <a:cubicBezTo>
                  <a:pt x="3346" y="9706"/>
                  <a:pt x="3283" y="9392"/>
                  <a:pt x="3418" y="8718"/>
                </a:cubicBezTo>
                <a:cubicBezTo>
                  <a:pt x="3470" y="8457"/>
                  <a:pt x="3439" y="8156"/>
                  <a:pt x="3347" y="7911"/>
                </a:cubicBezTo>
                <a:cubicBezTo>
                  <a:pt x="3148" y="7378"/>
                  <a:pt x="2778" y="6387"/>
                  <a:pt x="3038" y="5641"/>
                </a:cubicBezTo>
                <a:cubicBezTo>
                  <a:pt x="3469" y="4362"/>
                  <a:pt x="3649" y="4265"/>
                  <a:pt x="4133" y="4008"/>
                </a:cubicBezTo>
                <a:cubicBezTo>
                  <a:pt x="4180" y="3983"/>
                  <a:pt x="4225" y="3953"/>
                  <a:pt x="4268" y="3919"/>
                </a:cubicBezTo>
                <a:cubicBezTo>
                  <a:pt x="4389" y="3825"/>
                  <a:pt x="4884" y="3600"/>
                  <a:pt x="5392" y="3600"/>
                </a:cubicBezTo>
                <a:cubicBezTo>
                  <a:pt x="5636" y="3600"/>
                  <a:pt x="5839" y="3655"/>
                  <a:pt x="6002" y="3755"/>
                </a:cubicBezTo>
                <a:cubicBezTo>
                  <a:pt x="6045" y="3548"/>
                  <a:pt x="6096" y="3341"/>
                  <a:pt x="6165" y="3134"/>
                </a:cubicBezTo>
                <a:cubicBezTo>
                  <a:pt x="6225" y="2950"/>
                  <a:pt x="6289" y="2793"/>
                  <a:pt x="6351" y="2630"/>
                </a:cubicBezTo>
                <a:cubicBezTo>
                  <a:pt x="6046" y="2468"/>
                  <a:pt x="5716" y="2400"/>
                  <a:pt x="5392" y="2400"/>
                </a:cubicBezTo>
                <a:cubicBezTo>
                  <a:pt x="4682" y="2400"/>
                  <a:pt x="4009" y="2699"/>
                  <a:pt x="3740" y="2908"/>
                </a:cubicBezTo>
                <a:cubicBezTo>
                  <a:pt x="2955" y="3327"/>
                  <a:pt x="2625" y="3714"/>
                  <a:pt x="2130" y="5184"/>
                </a:cubicBezTo>
                <a:cubicBezTo>
                  <a:pt x="1700" y="6419"/>
                  <a:pt x="2212" y="7760"/>
                  <a:pt x="2464" y="8435"/>
                </a:cubicBezTo>
                <a:cubicBezTo>
                  <a:pt x="2156" y="9975"/>
                  <a:pt x="2583" y="10506"/>
                  <a:pt x="2583" y="10506"/>
                </a:cubicBezTo>
                <a:cubicBezTo>
                  <a:pt x="2806" y="10879"/>
                  <a:pt x="3185" y="11419"/>
                  <a:pt x="3185" y="12954"/>
                </a:cubicBezTo>
                <a:cubicBezTo>
                  <a:pt x="3185" y="14701"/>
                  <a:pt x="2084" y="15006"/>
                  <a:pt x="2084" y="15006"/>
                </a:cubicBezTo>
                <a:cubicBezTo>
                  <a:pt x="1191" y="15388"/>
                  <a:pt x="0" y="16199"/>
                  <a:pt x="0" y="18599"/>
                </a:cubicBezTo>
                <a:cubicBezTo>
                  <a:pt x="0" y="18599"/>
                  <a:pt x="0" y="19199"/>
                  <a:pt x="491" y="19199"/>
                </a:cubicBezTo>
                <a:lnTo>
                  <a:pt x="2680" y="19200"/>
                </a:lnTo>
                <a:cubicBezTo>
                  <a:pt x="2798" y="18755"/>
                  <a:pt x="2952" y="18353"/>
                  <a:pt x="3141" y="18000"/>
                </a:cubicBezTo>
                <a:lnTo>
                  <a:pt x="1018" y="17999"/>
                </a:lnTo>
                <a:cubicBezTo>
                  <a:pt x="1165" y="16859"/>
                  <a:pt x="1744" y="16429"/>
                  <a:pt x="2371" y="16155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1</xdr:col>
      <xdr:colOff>60325</xdr:colOff>
      <xdr:row>25</xdr:row>
      <xdr:rowOff>2561533</xdr:rowOff>
    </xdr:from>
    <xdr:to>
      <xdr:col>1</xdr:col>
      <xdr:colOff>1269999</xdr:colOff>
      <xdr:row>25</xdr:row>
      <xdr:rowOff>2841625</xdr:rowOff>
    </xdr:to>
    <xdr:grpSp>
      <xdr:nvGrpSpPr>
        <xdr:cNvPr id="24" name="Groupe 23"/>
        <xdr:cNvGrpSpPr/>
      </xdr:nvGrpSpPr>
      <xdr:grpSpPr>
        <a:xfrm>
          <a:off x="263525" y="12645333"/>
          <a:ext cx="1209674" cy="280092"/>
          <a:chOff x="1577193" y="6008108"/>
          <a:chExt cx="1245382" cy="280092"/>
        </a:xfrm>
      </xdr:grpSpPr>
      <xdr:sp macro="" textlink="">
        <xdr:nvSpPr>
          <xdr:cNvPr id="36" name="Rectangle 35"/>
          <xdr:cNvSpPr/>
        </xdr:nvSpPr>
        <xdr:spPr>
          <a:xfrm>
            <a:off x="1793066" y="6008108"/>
            <a:ext cx="1029509" cy="280092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 sz="1200" i="1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Approbateur</a:t>
            </a:r>
          </a:p>
        </xdr:txBody>
      </xdr:sp>
      <xdr:sp macro="" textlink="">
        <xdr:nvSpPr>
          <xdr:cNvPr id="37" name="Shape 2614">
            <a:extLst>
              <a:ext uri="{FF2B5EF4-FFF2-40B4-BE49-F238E27FC236}">
                <a16:creationId xmlns:a16="http://schemas.microsoft.com/office/drawing/2014/main" id="{93991CFC-0E83-4712-8E8E-C8FE46952B29}"/>
              </a:ext>
            </a:extLst>
          </xdr:cNvPr>
          <xdr:cNvSpPr/>
        </xdr:nvSpPr>
        <xdr:spPr>
          <a:xfrm>
            <a:off x="1577193" y="6038607"/>
            <a:ext cx="216000" cy="216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17958" y="17505"/>
                </a:moveTo>
                <a:cubicBezTo>
                  <a:pt x="17372" y="16944"/>
                  <a:pt x="16242" y="15945"/>
                  <a:pt x="15117" y="15413"/>
                </a:cubicBezTo>
                <a:cubicBezTo>
                  <a:pt x="14189" y="14975"/>
                  <a:pt x="13657" y="14531"/>
                  <a:pt x="13491" y="14057"/>
                </a:cubicBezTo>
                <a:cubicBezTo>
                  <a:pt x="13377" y="13728"/>
                  <a:pt x="13428" y="13351"/>
                  <a:pt x="13649" y="12904"/>
                </a:cubicBezTo>
                <a:cubicBezTo>
                  <a:pt x="13815" y="12567"/>
                  <a:pt x="13972" y="12286"/>
                  <a:pt x="14117" y="12028"/>
                </a:cubicBezTo>
                <a:cubicBezTo>
                  <a:pt x="14730" y="10934"/>
                  <a:pt x="15203" y="10145"/>
                  <a:pt x="15203" y="7348"/>
                </a:cubicBezTo>
                <a:cubicBezTo>
                  <a:pt x="15203" y="3162"/>
                  <a:pt x="12787" y="2951"/>
                  <a:pt x="12309" y="2951"/>
                </a:cubicBezTo>
                <a:cubicBezTo>
                  <a:pt x="11917" y="2951"/>
                  <a:pt x="11672" y="3037"/>
                  <a:pt x="11435" y="3121"/>
                </a:cubicBezTo>
                <a:cubicBezTo>
                  <a:pt x="11175" y="3213"/>
                  <a:pt x="10907" y="3309"/>
                  <a:pt x="10296" y="3319"/>
                </a:cubicBezTo>
                <a:cubicBezTo>
                  <a:pt x="9190" y="3337"/>
                  <a:pt x="6873" y="3375"/>
                  <a:pt x="6873" y="7226"/>
                </a:cubicBezTo>
                <a:cubicBezTo>
                  <a:pt x="6873" y="9919"/>
                  <a:pt x="7574" y="11156"/>
                  <a:pt x="8125" y="12150"/>
                </a:cubicBezTo>
                <a:cubicBezTo>
                  <a:pt x="8266" y="12404"/>
                  <a:pt x="8399" y="12645"/>
                  <a:pt x="8505" y="12885"/>
                </a:cubicBezTo>
                <a:cubicBezTo>
                  <a:pt x="8973" y="13949"/>
                  <a:pt x="8631" y="14693"/>
                  <a:pt x="7426" y="15224"/>
                </a:cubicBezTo>
                <a:cubicBezTo>
                  <a:pt x="5905" y="15897"/>
                  <a:pt x="5188" y="16247"/>
                  <a:pt x="3693" y="17562"/>
                </a:cubicBezTo>
                <a:cubicBezTo>
                  <a:pt x="2017" y="15800"/>
                  <a:pt x="982" y="13423"/>
                  <a:pt x="982" y="10800"/>
                </a:cubicBezTo>
                <a:cubicBezTo>
                  <a:pt x="982" y="5377"/>
                  <a:pt x="5377" y="982"/>
                  <a:pt x="10800" y="982"/>
                </a:cubicBezTo>
                <a:cubicBezTo>
                  <a:pt x="16223" y="982"/>
                  <a:pt x="20618" y="5377"/>
                  <a:pt x="20618" y="10800"/>
                </a:cubicBezTo>
                <a:cubicBezTo>
                  <a:pt x="20618" y="13395"/>
                  <a:pt x="19603" y="15749"/>
                  <a:pt x="17958" y="17505"/>
                </a:cubicBezTo>
                <a:moveTo>
                  <a:pt x="10800" y="20618"/>
                </a:moveTo>
                <a:cubicBezTo>
                  <a:pt x="8356" y="20618"/>
                  <a:pt x="6125" y="19720"/>
                  <a:pt x="4407" y="18242"/>
                </a:cubicBezTo>
                <a:cubicBezTo>
                  <a:pt x="5730" y="17084"/>
                  <a:pt x="6362" y="16767"/>
                  <a:pt x="7823" y="16122"/>
                </a:cubicBezTo>
                <a:cubicBezTo>
                  <a:pt x="9515" y="15375"/>
                  <a:pt x="10091" y="14051"/>
                  <a:pt x="9403" y="12489"/>
                </a:cubicBezTo>
                <a:cubicBezTo>
                  <a:pt x="9279" y="12208"/>
                  <a:pt x="9136" y="11949"/>
                  <a:pt x="8984" y="11674"/>
                </a:cubicBezTo>
                <a:cubicBezTo>
                  <a:pt x="8461" y="10732"/>
                  <a:pt x="7855" y="9665"/>
                  <a:pt x="7855" y="7226"/>
                </a:cubicBezTo>
                <a:cubicBezTo>
                  <a:pt x="7855" y="4341"/>
                  <a:pt x="9224" y="4318"/>
                  <a:pt x="10312" y="4300"/>
                </a:cubicBezTo>
                <a:cubicBezTo>
                  <a:pt x="11084" y="4287"/>
                  <a:pt x="11461" y="4154"/>
                  <a:pt x="11763" y="4047"/>
                </a:cubicBezTo>
                <a:cubicBezTo>
                  <a:pt x="11964" y="3975"/>
                  <a:pt x="12086" y="3933"/>
                  <a:pt x="12309" y="3933"/>
                </a:cubicBezTo>
                <a:cubicBezTo>
                  <a:pt x="13218" y="3933"/>
                  <a:pt x="14221" y="4830"/>
                  <a:pt x="14221" y="7348"/>
                </a:cubicBezTo>
                <a:cubicBezTo>
                  <a:pt x="14221" y="9888"/>
                  <a:pt x="13840" y="10513"/>
                  <a:pt x="13261" y="11548"/>
                </a:cubicBezTo>
                <a:cubicBezTo>
                  <a:pt x="13108" y="11820"/>
                  <a:pt x="12943" y="12115"/>
                  <a:pt x="12768" y="12470"/>
                </a:cubicBezTo>
                <a:cubicBezTo>
                  <a:pt x="12430" y="13155"/>
                  <a:pt x="12362" y="13798"/>
                  <a:pt x="12565" y="14380"/>
                </a:cubicBezTo>
                <a:cubicBezTo>
                  <a:pt x="12825" y="15126"/>
                  <a:pt x="13502" y="15737"/>
                  <a:pt x="14696" y="16302"/>
                </a:cubicBezTo>
                <a:cubicBezTo>
                  <a:pt x="15675" y="16764"/>
                  <a:pt x="16700" y="17667"/>
                  <a:pt x="17251" y="18189"/>
                </a:cubicBezTo>
                <a:cubicBezTo>
                  <a:pt x="15525" y="19697"/>
                  <a:pt x="13272" y="20618"/>
                  <a:pt x="10800" y="20618"/>
                </a:cubicBezTo>
                <a:moveTo>
                  <a:pt x="10800" y="0"/>
                </a:moveTo>
                <a:cubicBezTo>
                  <a:pt x="4835" y="0"/>
                  <a:pt x="0" y="4835"/>
                  <a:pt x="0" y="10800"/>
                </a:cubicBezTo>
                <a:cubicBezTo>
                  <a:pt x="0" y="16764"/>
                  <a:pt x="4835" y="21600"/>
                  <a:pt x="10800" y="21600"/>
                </a:cubicBezTo>
                <a:cubicBezTo>
                  <a:pt x="16765" y="21600"/>
                  <a:pt x="21600" y="16764"/>
                  <a:pt x="21600" y="10800"/>
                </a:cubicBezTo>
                <a:cubicBezTo>
                  <a:pt x="21600" y="4835"/>
                  <a:pt x="16765" y="0"/>
                  <a:pt x="10800" y="0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4</xdr:col>
      <xdr:colOff>77924</xdr:colOff>
      <xdr:row>18</xdr:row>
      <xdr:rowOff>176971</xdr:rowOff>
    </xdr:from>
    <xdr:to>
      <xdr:col>4</xdr:col>
      <xdr:colOff>81540</xdr:colOff>
      <xdr:row>19</xdr:row>
      <xdr:rowOff>191438</xdr:rowOff>
    </xdr:to>
    <xdr:cxnSp macro="">
      <xdr:nvCxnSpPr>
        <xdr:cNvPr id="25" name="Connecteur droit avec flèche 24"/>
        <xdr:cNvCxnSpPr>
          <a:stCxn id="12" idx="2"/>
          <a:endCxn id="13" idx="0"/>
        </xdr:cNvCxnSpPr>
      </xdr:nvCxnSpPr>
      <xdr:spPr>
        <a:xfrm flipH="1">
          <a:off x="4408624" y="4875971"/>
          <a:ext cx="3616" cy="370067"/>
        </a:xfrm>
        <a:prstGeom prst="straightConnector1">
          <a:avLst/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81540</xdr:colOff>
      <xdr:row>21</xdr:row>
      <xdr:rowOff>325607</xdr:rowOff>
    </xdr:from>
    <xdr:to>
      <xdr:col>4</xdr:col>
      <xdr:colOff>81540</xdr:colOff>
      <xdr:row>21</xdr:row>
      <xdr:rowOff>712858</xdr:rowOff>
    </xdr:to>
    <xdr:cxnSp macro="">
      <xdr:nvCxnSpPr>
        <xdr:cNvPr id="26" name="Connecteur droit avec flèche 25"/>
        <xdr:cNvCxnSpPr/>
      </xdr:nvCxnSpPr>
      <xdr:spPr>
        <a:xfrm>
          <a:off x="4412240" y="6281907"/>
          <a:ext cx="0" cy="387251"/>
        </a:xfrm>
        <a:prstGeom prst="straightConnector1">
          <a:avLst/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93872</xdr:colOff>
      <xdr:row>24</xdr:row>
      <xdr:rowOff>198782</xdr:rowOff>
    </xdr:from>
    <xdr:to>
      <xdr:col>4</xdr:col>
      <xdr:colOff>93872</xdr:colOff>
      <xdr:row>24</xdr:row>
      <xdr:rowOff>450782</xdr:rowOff>
    </xdr:to>
    <xdr:cxnSp macro="">
      <xdr:nvCxnSpPr>
        <xdr:cNvPr id="27" name="Connecteur droit avec flèche 26"/>
        <xdr:cNvCxnSpPr/>
      </xdr:nvCxnSpPr>
      <xdr:spPr>
        <a:xfrm>
          <a:off x="4316622" y="9057032"/>
          <a:ext cx="0" cy="252000"/>
        </a:xfrm>
        <a:prstGeom prst="straightConnector1">
          <a:avLst/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81540</xdr:colOff>
      <xdr:row>25</xdr:row>
      <xdr:rowOff>529787</xdr:rowOff>
    </xdr:from>
    <xdr:to>
      <xdr:col>4</xdr:col>
      <xdr:colOff>81540</xdr:colOff>
      <xdr:row>25</xdr:row>
      <xdr:rowOff>745787</xdr:rowOff>
    </xdr:to>
    <xdr:cxnSp macro="">
      <xdr:nvCxnSpPr>
        <xdr:cNvPr id="28" name="Connecteur droit avec flèche 27"/>
        <xdr:cNvCxnSpPr/>
      </xdr:nvCxnSpPr>
      <xdr:spPr>
        <a:xfrm>
          <a:off x="4304290" y="10404037"/>
          <a:ext cx="0" cy="216000"/>
        </a:xfrm>
        <a:prstGeom prst="straightConnector1">
          <a:avLst/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77924</xdr:colOff>
      <xdr:row>25</xdr:row>
      <xdr:rowOff>2050683</xdr:rowOff>
    </xdr:from>
    <xdr:to>
      <xdr:col>4</xdr:col>
      <xdr:colOff>77924</xdr:colOff>
      <xdr:row>25</xdr:row>
      <xdr:rowOff>2437934</xdr:rowOff>
    </xdr:to>
    <xdr:cxnSp macro="">
      <xdr:nvCxnSpPr>
        <xdr:cNvPr id="29" name="Connecteur droit avec flèche 28"/>
        <xdr:cNvCxnSpPr/>
      </xdr:nvCxnSpPr>
      <xdr:spPr>
        <a:xfrm>
          <a:off x="4300674" y="11924933"/>
          <a:ext cx="0" cy="387251"/>
        </a:xfrm>
        <a:prstGeom prst="straightConnector1">
          <a:avLst/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1107167</xdr:colOff>
      <xdr:row>23</xdr:row>
      <xdr:rowOff>250537</xdr:rowOff>
    </xdr:from>
    <xdr:to>
      <xdr:col>5</xdr:col>
      <xdr:colOff>388677</xdr:colOff>
      <xdr:row>24</xdr:row>
      <xdr:rowOff>83623</xdr:rowOff>
    </xdr:to>
    <xdr:sp macro="" textlink="">
      <xdr:nvSpPr>
        <xdr:cNvPr id="30" name="Sous-titre 2"/>
        <xdr:cNvSpPr txBox="1">
          <a:spLocks/>
        </xdr:cNvSpPr>
      </xdr:nvSpPr>
      <xdr:spPr>
        <a:xfrm>
          <a:off x="2821667" y="8022937"/>
          <a:ext cx="3205810" cy="849086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spcBef>
              <a:spcPts val="0"/>
            </a:spcBef>
          </a:pP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Partie DOCUMENTS APPLICABLES : </a:t>
          </a:r>
        </a:p>
        <a:p>
          <a:pPr>
            <a:spcBef>
              <a:spcPts val="0"/>
            </a:spcBef>
          </a:pP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ajouter les listes de contrôles spécifiques à la relecture.</a:t>
          </a:r>
        </a:p>
      </xdr:txBody>
    </xdr:sp>
    <xdr:clientData/>
  </xdr:twoCellAnchor>
  <xdr:twoCellAnchor>
    <xdr:from>
      <xdr:col>5</xdr:col>
      <xdr:colOff>860023</xdr:colOff>
      <xdr:row>24</xdr:row>
      <xdr:rowOff>698990</xdr:rowOff>
    </xdr:from>
    <xdr:to>
      <xdr:col>8</xdr:col>
      <xdr:colOff>209865</xdr:colOff>
      <xdr:row>25</xdr:row>
      <xdr:rowOff>608288</xdr:rowOff>
    </xdr:to>
    <xdr:sp macro="" textlink="">
      <xdr:nvSpPr>
        <xdr:cNvPr id="31" name="Rectangle à coins arrondis 30"/>
        <xdr:cNvSpPr/>
      </xdr:nvSpPr>
      <xdr:spPr>
        <a:xfrm>
          <a:off x="6498823" y="9487390"/>
          <a:ext cx="3274142" cy="925298"/>
        </a:xfrm>
        <a:prstGeom prst="roundRect">
          <a:avLst/>
        </a:prstGeom>
        <a:solidFill>
          <a:srgbClr val="FFCC66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400" i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Règle d’or </a:t>
          </a: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: </a:t>
          </a:r>
        </a:p>
        <a:p>
          <a:pPr algn="ctr"/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Toutes les colonnes doivent être complétées. Si non applicable, noter N/A.</a:t>
          </a:r>
        </a:p>
      </xdr:txBody>
    </xdr:sp>
    <xdr:clientData/>
  </xdr:twoCellAnchor>
  <xdr:twoCellAnchor>
    <xdr:from>
      <xdr:col>1</xdr:col>
      <xdr:colOff>60325</xdr:colOff>
      <xdr:row>23</xdr:row>
      <xdr:rowOff>349594</xdr:rowOff>
    </xdr:from>
    <xdr:to>
      <xdr:col>2</xdr:col>
      <xdr:colOff>1030978</xdr:colOff>
      <xdr:row>23</xdr:row>
      <xdr:rowOff>811259</xdr:rowOff>
    </xdr:to>
    <xdr:grpSp>
      <xdr:nvGrpSpPr>
        <xdr:cNvPr id="32" name="Groupe 31"/>
        <xdr:cNvGrpSpPr/>
      </xdr:nvGrpSpPr>
      <xdr:grpSpPr>
        <a:xfrm>
          <a:off x="263525" y="8401394"/>
          <a:ext cx="2481953" cy="461665"/>
          <a:chOff x="1489989" y="2569823"/>
          <a:chExt cx="2520053" cy="461665"/>
        </a:xfrm>
      </xdr:grpSpPr>
      <xdr:sp macro="" textlink="">
        <xdr:nvSpPr>
          <xdr:cNvPr id="34" name="ZoneTexte 33"/>
          <xdr:cNvSpPr txBox="1"/>
        </xdr:nvSpPr>
        <xdr:spPr>
          <a:xfrm>
            <a:off x="1796232" y="2569823"/>
            <a:ext cx="2213810" cy="46166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 sz="1200" i="1" kern="1200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Auteur/Rédacteur</a:t>
            </a:r>
          </a:p>
          <a:p>
            <a:pPr marL="0" indent="0" algn="l" defTabSz="914400" rtl="0" eaLnBrk="1" latinLnBrk="0" hangingPunct="1"/>
            <a:r>
              <a:rPr lang="fr-FR" sz="1200" i="1" kern="1200">
                <a:solidFill>
                  <a:schemeClr val="tx2"/>
                </a:solidFill>
                <a:latin typeface="Lato" panose="020F0502020204030203" pitchFamily="34" charset="0"/>
                <a:ea typeface="Lato" panose="020F0502020204030203" pitchFamily="34" charset="0"/>
                <a:cs typeface="Lato" panose="020F0502020204030203" pitchFamily="34" charset="0"/>
              </a:rPr>
              <a:t>Pair/Validateur/Relecteur</a:t>
            </a:r>
          </a:p>
        </xdr:txBody>
      </xdr:sp>
      <xdr:sp macro="" textlink="">
        <xdr:nvSpPr>
          <xdr:cNvPr id="35" name="Shape 2617">
            <a:extLst>
              <a:ext uri="{FF2B5EF4-FFF2-40B4-BE49-F238E27FC236}">
                <a16:creationId xmlns:a16="http://schemas.microsoft.com/office/drawing/2014/main" id="{97AE5E7E-BEA7-4ADD-ABDA-5FF526125A2D}"/>
              </a:ext>
            </a:extLst>
          </xdr:cNvPr>
          <xdr:cNvSpPr/>
        </xdr:nvSpPr>
        <xdr:spPr>
          <a:xfrm>
            <a:off x="1489989" y="2802988"/>
            <a:ext cx="288000" cy="180000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4457" y="20400"/>
                </a:moveTo>
                <a:cubicBezTo>
                  <a:pt x="4686" y="18711"/>
                  <a:pt x="5897" y="18036"/>
                  <a:pt x="7134" y="17493"/>
                </a:cubicBezTo>
                <a:lnTo>
                  <a:pt x="7173" y="17477"/>
                </a:lnTo>
                <a:cubicBezTo>
                  <a:pt x="8055" y="17190"/>
                  <a:pt x="9626" y="16039"/>
                  <a:pt x="9626" y="13569"/>
                </a:cubicBezTo>
                <a:cubicBezTo>
                  <a:pt x="9626" y="11474"/>
                  <a:pt x="8932" y="10452"/>
                  <a:pt x="8558" y="9902"/>
                </a:cubicBezTo>
                <a:cubicBezTo>
                  <a:pt x="8484" y="9791"/>
                  <a:pt x="8394" y="9649"/>
                  <a:pt x="8414" y="9680"/>
                </a:cubicBezTo>
                <a:cubicBezTo>
                  <a:pt x="8384" y="9599"/>
                  <a:pt x="8237" y="9129"/>
                  <a:pt x="8449" y="8035"/>
                </a:cubicBezTo>
                <a:cubicBezTo>
                  <a:pt x="8549" y="7522"/>
                  <a:pt x="8380" y="7241"/>
                  <a:pt x="8380" y="7241"/>
                </a:cubicBezTo>
                <a:cubicBezTo>
                  <a:pt x="8112" y="6505"/>
                  <a:pt x="7614" y="5133"/>
                  <a:pt x="7988" y="4025"/>
                </a:cubicBezTo>
                <a:cubicBezTo>
                  <a:pt x="8490" y="2492"/>
                  <a:pt x="8935" y="2190"/>
                  <a:pt x="9741" y="1747"/>
                </a:cubicBezTo>
                <a:cubicBezTo>
                  <a:pt x="9788" y="1721"/>
                  <a:pt x="9834" y="1691"/>
                  <a:pt x="9877" y="1657"/>
                </a:cubicBezTo>
                <a:cubicBezTo>
                  <a:pt x="10029" y="1535"/>
                  <a:pt x="10674" y="1200"/>
                  <a:pt x="11403" y="1200"/>
                </a:cubicBezTo>
                <a:cubicBezTo>
                  <a:pt x="11768" y="1200"/>
                  <a:pt x="12075" y="1285"/>
                  <a:pt x="12318" y="1454"/>
                </a:cubicBezTo>
                <a:cubicBezTo>
                  <a:pt x="12610" y="1655"/>
                  <a:pt x="12890" y="2039"/>
                  <a:pt x="13313" y="3271"/>
                </a:cubicBezTo>
                <a:cubicBezTo>
                  <a:pt x="14101" y="5469"/>
                  <a:pt x="13602" y="6698"/>
                  <a:pt x="13350" y="7124"/>
                </a:cubicBezTo>
                <a:cubicBezTo>
                  <a:pt x="13183" y="7407"/>
                  <a:pt x="13126" y="7764"/>
                  <a:pt x="13191" y="8102"/>
                </a:cubicBezTo>
                <a:cubicBezTo>
                  <a:pt x="13386" y="9109"/>
                  <a:pt x="13260" y="9534"/>
                  <a:pt x="13227" y="9619"/>
                </a:cubicBezTo>
                <a:cubicBezTo>
                  <a:pt x="13219" y="9631"/>
                  <a:pt x="13101" y="9814"/>
                  <a:pt x="13041" y="9902"/>
                </a:cubicBezTo>
                <a:cubicBezTo>
                  <a:pt x="12668" y="10452"/>
                  <a:pt x="11973" y="11474"/>
                  <a:pt x="11973" y="13569"/>
                </a:cubicBezTo>
                <a:cubicBezTo>
                  <a:pt x="11973" y="16039"/>
                  <a:pt x="13545" y="17190"/>
                  <a:pt x="14427" y="17477"/>
                </a:cubicBezTo>
                <a:lnTo>
                  <a:pt x="14466" y="17493"/>
                </a:lnTo>
                <a:cubicBezTo>
                  <a:pt x="15703" y="18036"/>
                  <a:pt x="16914" y="18711"/>
                  <a:pt x="17143" y="20400"/>
                </a:cubicBezTo>
                <a:cubicBezTo>
                  <a:pt x="17143" y="20400"/>
                  <a:pt x="4457" y="20400"/>
                  <a:pt x="4457" y="20400"/>
                </a:cubicBezTo>
                <a:close/>
                <a:moveTo>
                  <a:pt x="14715" y="16328"/>
                </a:moveTo>
                <a:cubicBezTo>
                  <a:pt x="14715" y="16328"/>
                  <a:pt x="12955" y="15815"/>
                  <a:pt x="12955" y="13569"/>
                </a:cubicBezTo>
                <a:cubicBezTo>
                  <a:pt x="12955" y="11596"/>
                  <a:pt x="13678" y="10901"/>
                  <a:pt x="13957" y="10421"/>
                </a:cubicBezTo>
                <a:cubicBezTo>
                  <a:pt x="13957" y="10421"/>
                  <a:pt x="14531" y="9807"/>
                  <a:pt x="14146" y="7826"/>
                </a:cubicBezTo>
                <a:cubicBezTo>
                  <a:pt x="14787" y="6740"/>
                  <a:pt x="14995" y="4972"/>
                  <a:pt x="14211" y="2789"/>
                </a:cubicBezTo>
                <a:cubicBezTo>
                  <a:pt x="13774" y="1514"/>
                  <a:pt x="13389" y="815"/>
                  <a:pt x="12801" y="409"/>
                </a:cubicBezTo>
                <a:cubicBezTo>
                  <a:pt x="12370" y="110"/>
                  <a:pt x="11880" y="0"/>
                  <a:pt x="11403" y="0"/>
                </a:cubicBezTo>
                <a:cubicBezTo>
                  <a:pt x="10516" y="0"/>
                  <a:pt x="9675" y="384"/>
                  <a:pt x="9339" y="653"/>
                </a:cubicBezTo>
                <a:cubicBezTo>
                  <a:pt x="8357" y="1192"/>
                  <a:pt x="7697" y="1688"/>
                  <a:pt x="7077" y="3579"/>
                </a:cubicBezTo>
                <a:cubicBezTo>
                  <a:pt x="6540" y="5168"/>
                  <a:pt x="7179" y="6892"/>
                  <a:pt x="7494" y="7758"/>
                </a:cubicBezTo>
                <a:cubicBezTo>
                  <a:pt x="7110" y="9740"/>
                  <a:pt x="7642" y="10421"/>
                  <a:pt x="7642" y="10421"/>
                </a:cubicBezTo>
                <a:cubicBezTo>
                  <a:pt x="7922" y="10901"/>
                  <a:pt x="8644" y="11596"/>
                  <a:pt x="8644" y="13569"/>
                </a:cubicBezTo>
                <a:cubicBezTo>
                  <a:pt x="8644" y="15815"/>
                  <a:pt x="6885" y="16328"/>
                  <a:pt x="6885" y="16328"/>
                </a:cubicBezTo>
                <a:cubicBezTo>
                  <a:pt x="5768" y="16819"/>
                  <a:pt x="3436" y="17760"/>
                  <a:pt x="3436" y="21000"/>
                </a:cubicBezTo>
                <a:cubicBezTo>
                  <a:pt x="3436" y="21000"/>
                  <a:pt x="3436" y="21600"/>
                  <a:pt x="3927" y="21600"/>
                </a:cubicBezTo>
                <a:lnTo>
                  <a:pt x="17673" y="21600"/>
                </a:lnTo>
                <a:cubicBezTo>
                  <a:pt x="18164" y="21600"/>
                  <a:pt x="18164" y="21000"/>
                  <a:pt x="18164" y="21000"/>
                </a:cubicBezTo>
                <a:cubicBezTo>
                  <a:pt x="18164" y="17760"/>
                  <a:pt x="15832" y="16819"/>
                  <a:pt x="14715" y="16328"/>
                </a:cubicBezTo>
                <a:moveTo>
                  <a:pt x="19516" y="15006"/>
                </a:moveTo>
                <a:cubicBezTo>
                  <a:pt x="19516" y="15006"/>
                  <a:pt x="18416" y="14701"/>
                  <a:pt x="18416" y="12954"/>
                </a:cubicBezTo>
                <a:cubicBezTo>
                  <a:pt x="18416" y="11419"/>
                  <a:pt x="18794" y="10879"/>
                  <a:pt x="19017" y="10506"/>
                </a:cubicBezTo>
                <a:cubicBezTo>
                  <a:pt x="19017" y="10506"/>
                  <a:pt x="19443" y="9975"/>
                  <a:pt x="19136" y="8435"/>
                </a:cubicBezTo>
                <a:cubicBezTo>
                  <a:pt x="19388" y="7760"/>
                  <a:pt x="19900" y="6419"/>
                  <a:pt x="19470" y="5184"/>
                </a:cubicBezTo>
                <a:cubicBezTo>
                  <a:pt x="18974" y="3714"/>
                  <a:pt x="18645" y="3327"/>
                  <a:pt x="17860" y="2908"/>
                </a:cubicBezTo>
                <a:cubicBezTo>
                  <a:pt x="17591" y="2699"/>
                  <a:pt x="16918" y="2400"/>
                  <a:pt x="16208" y="2400"/>
                </a:cubicBezTo>
                <a:cubicBezTo>
                  <a:pt x="15873" y="2400"/>
                  <a:pt x="15531" y="2473"/>
                  <a:pt x="15218" y="2647"/>
                </a:cubicBezTo>
                <a:cubicBezTo>
                  <a:pt x="15343" y="3035"/>
                  <a:pt x="15449" y="3420"/>
                  <a:pt x="15525" y="3799"/>
                </a:cubicBezTo>
                <a:cubicBezTo>
                  <a:pt x="15537" y="3790"/>
                  <a:pt x="15550" y="3779"/>
                  <a:pt x="15563" y="3770"/>
                </a:cubicBezTo>
                <a:cubicBezTo>
                  <a:pt x="15730" y="3657"/>
                  <a:pt x="15948" y="3600"/>
                  <a:pt x="16208" y="3600"/>
                </a:cubicBezTo>
                <a:cubicBezTo>
                  <a:pt x="16716" y="3600"/>
                  <a:pt x="17211" y="3825"/>
                  <a:pt x="17332" y="3919"/>
                </a:cubicBezTo>
                <a:cubicBezTo>
                  <a:pt x="17375" y="3953"/>
                  <a:pt x="17421" y="3983"/>
                  <a:pt x="17467" y="4008"/>
                </a:cubicBezTo>
                <a:cubicBezTo>
                  <a:pt x="17950" y="4265"/>
                  <a:pt x="18131" y="4362"/>
                  <a:pt x="18562" y="5641"/>
                </a:cubicBezTo>
                <a:cubicBezTo>
                  <a:pt x="18822" y="6387"/>
                  <a:pt x="18452" y="7378"/>
                  <a:pt x="18253" y="7911"/>
                </a:cubicBezTo>
                <a:cubicBezTo>
                  <a:pt x="18161" y="8156"/>
                  <a:pt x="18130" y="8457"/>
                  <a:pt x="18182" y="8718"/>
                </a:cubicBezTo>
                <a:cubicBezTo>
                  <a:pt x="18316" y="9392"/>
                  <a:pt x="18254" y="9706"/>
                  <a:pt x="18232" y="9784"/>
                </a:cubicBezTo>
                <a:cubicBezTo>
                  <a:pt x="18230" y="9788"/>
                  <a:pt x="18227" y="9793"/>
                  <a:pt x="18224" y="9798"/>
                </a:cubicBezTo>
                <a:lnTo>
                  <a:pt x="18191" y="9853"/>
                </a:lnTo>
                <a:cubicBezTo>
                  <a:pt x="17926" y="10290"/>
                  <a:pt x="17434" y="11106"/>
                  <a:pt x="17434" y="12954"/>
                </a:cubicBezTo>
                <a:cubicBezTo>
                  <a:pt x="17434" y="15019"/>
                  <a:pt x="18570" y="15933"/>
                  <a:pt x="19229" y="16155"/>
                </a:cubicBezTo>
                <a:cubicBezTo>
                  <a:pt x="19856" y="16429"/>
                  <a:pt x="20435" y="16859"/>
                  <a:pt x="20582" y="17999"/>
                </a:cubicBezTo>
                <a:lnTo>
                  <a:pt x="18459" y="18000"/>
                </a:lnTo>
                <a:cubicBezTo>
                  <a:pt x="18647" y="18353"/>
                  <a:pt x="18802" y="18755"/>
                  <a:pt x="18920" y="19200"/>
                </a:cubicBezTo>
                <a:lnTo>
                  <a:pt x="21109" y="19199"/>
                </a:lnTo>
                <a:cubicBezTo>
                  <a:pt x="21600" y="19199"/>
                  <a:pt x="21600" y="18599"/>
                  <a:pt x="21600" y="18599"/>
                </a:cubicBezTo>
                <a:cubicBezTo>
                  <a:pt x="21600" y="16199"/>
                  <a:pt x="20410" y="15388"/>
                  <a:pt x="19516" y="15006"/>
                </a:cubicBezTo>
                <a:moveTo>
                  <a:pt x="2371" y="16155"/>
                </a:moveTo>
                <a:cubicBezTo>
                  <a:pt x="3030" y="15933"/>
                  <a:pt x="4166" y="15019"/>
                  <a:pt x="4166" y="12954"/>
                </a:cubicBezTo>
                <a:cubicBezTo>
                  <a:pt x="4166" y="11106"/>
                  <a:pt x="3673" y="10290"/>
                  <a:pt x="3409" y="9853"/>
                </a:cubicBezTo>
                <a:lnTo>
                  <a:pt x="3376" y="9798"/>
                </a:lnTo>
                <a:cubicBezTo>
                  <a:pt x="3373" y="9793"/>
                  <a:pt x="3370" y="9788"/>
                  <a:pt x="3367" y="9784"/>
                </a:cubicBezTo>
                <a:cubicBezTo>
                  <a:pt x="3346" y="9706"/>
                  <a:pt x="3283" y="9392"/>
                  <a:pt x="3418" y="8718"/>
                </a:cubicBezTo>
                <a:cubicBezTo>
                  <a:pt x="3470" y="8457"/>
                  <a:pt x="3439" y="8156"/>
                  <a:pt x="3347" y="7911"/>
                </a:cubicBezTo>
                <a:cubicBezTo>
                  <a:pt x="3148" y="7378"/>
                  <a:pt x="2778" y="6387"/>
                  <a:pt x="3038" y="5641"/>
                </a:cubicBezTo>
                <a:cubicBezTo>
                  <a:pt x="3469" y="4362"/>
                  <a:pt x="3649" y="4265"/>
                  <a:pt x="4133" y="4008"/>
                </a:cubicBezTo>
                <a:cubicBezTo>
                  <a:pt x="4180" y="3983"/>
                  <a:pt x="4225" y="3953"/>
                  <a:pt x="4268" y="3919"/>
                </a:cubicBezTo>
                <a:cubicBezTo>
                  <a:pt x="4389" y="3825"/>
                  <a:pt x="4884" y="3600"/>
                  <a:pt x="5392" y="3600"/>
                </a:cubicBezTo>
                <a:cubicBezTo>
                  <a:pt x="5636" y="3600"/>
                  <a:pt x="5839" y="3655"/>
                  <a:pt x="6002" y="3755"/>
                </a:cubicBezTo>
                <a:cubicBezTo>
                  <a:pt x="6045" y="3548"/>
                  <a:pt x="6096" y="3341"/>
                  <a:pt x="6165" y="3134"/>
                </a:cubicBezTo>
                <a:cubicBezTo>
                  <a:pt x="6225" y="2950"/>
                  <a:pt x="6289" y="2793"/>
                  <a:pt x="6351" y="2630"/>
                </a:cubicBezTo>
                <a:cubicBezTo>
                  <a:pt x="6046" y="2468"/>
                  <a:pt x="5716" y="2400"/>
                  <a:pt x="5392" y="2400"/>
                </a:cubicBezTo>
                <a:cubicBezTo>
                  <a:pt x="4682" y="2400"/>
                  <a:pt x="4009" y="2699"/>
                  <a:pt x="3740" y="2908"/>
                </a:cubicBezTo>
                <a:cubicBezTo>
                  <a:pt x="2955" y="3327"/>
                  <a:pt x="2625" y="3714"/>
                  <a:pt x="2130" y="5184"/>
                </a:cubicBezTo>
                <a:cubicBezTo>
                  <a:pt x="1700" y="6419"/>
                  <a:pt x="2212" y="7760"/>
                  <a:pt x="2464" y="8435"/>
                </a:cubicBezTo>
                <a:cubicBezTo>
                  <a:pt x="2156" y="9975"/>
                  <a:pt x="2583" y="10506"/>
                  <a:pt x="2583" y="10506"/>
                </a:cubicBezTo>
                <a:cubicBezTo>
                  <a:pt x="2806" y="10879"/>
                  <a:pt x="3185" y="11419"/>
                  <a:pt x="3185" y="12954"/>
                </a:cubicBezTo>
                <a:cubicBezTo>
                  <a:pt x="3185" y="14701"/>
                  <a:pt x="2084" y="15006"/>
                  <a:pt x="2084" y="15006"/>
                </a:cubicBezTo>
                <a:cubicBezTo>
                  <a:pt x="1191" y="15388"/>
                  <a:pt x="0" y="16199"/>
                  <a:pt x="0" y="18599"/>
                </a:cubicBezTo>
                <a:cubicBezTo>
                  <a:pt x="0" y="18599"/>
                  <a:pt x="0" y="19199"/>
                  <a:pt x="491" y="19199"/>
                </a:cubicBezTo>
                <a:lnTo>
                  <a:pt x="2680" y="19200"/>
                </a:lnTo>
                <a:cubicBezTo>
                  <a:pt x="2798" y="18755"/>
                  <a:pt x="2952" y="18353"/>
                  <a:pt x="3141" y="18000"/>
                </a:cubicBezTo>
                <a:lnTo>
                  <a:pt x="1018" y="17999"/>
                </a:lnTo>
                <a:cubicBezTo>
                  <a:pt x="1165" y="16859"/>
                  <a:pt x="1744" y="16429"/>
                  <a:pt x="2371" y="16155"/>
                </a:cubicBezTo>
              </a:path>
            </a:pathLst>
          </a:custGeom>
          <a:solidFill>
            <a:schemeClr val="tx1"/>
          </a:solidFill>
          <a:ln w="12700">
            <a:miter lim="400000"/>
          </a:ln>
        </xdr:spPr>
        <xdr:txBody>
          <a:bodyPr wrap="square" lIns="38081" tIns="38081" rIns="38081" bIns="38081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6950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2999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</xdr:grpSp>
    <xdr:clientData/>
  </xdr:twoCellAnchor>
  <xdr:twoCellAnchor>
    <xdr:from>
      <xdr:col>8</xdr:col>
      <xdr:colOff>407694</xdr:colOff>
      <xdr:row>24</xdr:row>
      <xdr:rowOff>698990</xdr:rowOff>
    </xdr:from>
    <xdr:to>
      <xdr:col>10</xdr:col>
      <xdr:colOff>1065636</xdr:colOff>
      <xdr:row>25</xdr:row>
      <xdr:rowOff>608288</xdr:rowOff>
    </xdr:to>
    <xdr:sp macro="" textlink="">
      <xdr:nvSpPr>
        <xdr:cNvPr id="33" name="Rectangle à coins arrondis 32"/>
        <xdr:cNvSpPr/>
      </xdr:nvSpPr>
      <xdr:spPr>
        <a:xfrm>
          <a:off x="9970794" y="9487390"/>
          <a:ext cx="3274142" cy="925298"/>
        </a:xfrm>
        <a:prstGeom prst="roundRect">
          <a:avLst/>
        </a:prstGeom>
        <a:solidFill>
          <a:srgbClr val="FFCC66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400" i="1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Règle d’or </a:t>
          </a:r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: </a:t>
          </a:r>
        </a:p>
        <a:p>
          <a:pPr algn="ctr"/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Ne jamais supprimer les lignes 1 et 2 du tableau de commentaires</a:t>
          </a:r>
        </a:p>
      </xdr:txBody>
    </xdr:sp>
    <xdr:clientData/>
  </xdr:twoCellAnchor>
  <xdr:twoCellAnchor>
    <xdr:from>
      <xdr:col>2</xdr:col>
      <xdr:colOff>1056735</xdr:colOff>
      <xdr:row>25</xdr:row>
      <xdr:rowOff>781330</xdr:rowOff>
    </xdr:from>
    <xdr:to>
      <xdr:col>5</xdr:col>
      <xdr:colOff>338245</xdr:colOff>
      <xdr:row>25</xdr:row>
      <xdr:rowOff>1284812</xdr:rowOff>
    </xdr:to>
    <xdr:sp macro="" textlink="">
      <xdr:nvSpPr>
        <xdr:cNvPr id="46" name="Sous-titre 2"/>
        <xdr:cNvSpPr txBox="1">
          <a:spLocks/>
        </xdr:cNvSpPr>
      </xdr:nvSpPr>
      <xdr:spPr>
        <a:xfrm>
          <a:off x="2739485" y="10655580"/>
          <a:ext cx="3091510" cy="503482"/>
        </a:xfrm>
        <a:prstGeom prst="rect">
          <a:avLst/>
        </a:prstGeom>
        <a:noFill/>
        <a:ln w="28575">
          <a:solidFill>
            <a:schemeClr val="accent1"/>
          </a:solidFill>
        </a:ln>
      </xdr:spPr>
      <xdr:txBody>
        <a:bodyPr vert="horz" wrap="square" lIns="91440" tIns="45720" rIns="91440" bIns="45720" rtlCol="0" anchor="ctr" anchorCtr="0">
          <a:norm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chemeClr val="bg2">
                  <a:lumMod val="25000"/>
                </a:schemeClr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Réaliser les modifications.</a:t>
          </a:r>
        </a:p>
      </xdr:txBody>
    </xdr:sp>
    <xdr:clientData/>
  </xdr:twoCellAnchor>
  <xdr:twoCellAnchor>
    <xdr:from>
      <xdr:col>1</xdr:col>
      <xdr:colOff>53975</xdr:colOff>
      <xdr:row>25</xdr:row>
      <xdr:rowOff>894425</xdr:rowOff>
    </xdr:from>
    <xdr:to>
      <xdr:col>1</xdr:col>
      <xdr:colOff>335837</xdr:colOff>
      <xdr:row>25</xdr:row>
      <xdr:rowOff>1074425</xdr:rowOff>
    </xdr:to>
    <xdr:sp macro="" textlink="">
      <xdr:nvSpPr>
        <xdr:cNvPr id="49" name="Shape 2617">
          <a:extLst>
            <a:ext uri="{FF2B5EF4-FFF2-40B4-BE49-F238E27FC236}">
              <a16:creationId xmlns:a16="http://schemas.microsoft.com/office/drawing/2014/main" id="{97AE5E7E-BEA7-4ADD-ABDA-5FF526125A2D}"/>
            </a:ext>
          </a:extLst>
        </xdr:cNvPr>
        <xdr:cNvSpPr/>
      </xdr:nvSpPr>
      <xdr:spPr>
        <a:xfrm>
          <a:off x="260350" y="10768675"/>
          <a:ext cx="281862" cy="180000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21600" h="21600" extrusionOk="0">
              <a:moveTo>
                <a:pt x="4457" y="20400"/>
              </a:moveTo>
              <a:cubicBezTo>
                <a:pt x="4686" y="18711"/>
                <a:pt x="5897" y="18036"/>
                <a:pt x="7134" y="17493"/>
              </a:cubicBezTo>
              <a:lnTo>
                <a:pt x="7173" y="17477"/>
              </a:lnTo>
              <a:cubicBezTo>
                <a:pt x="8055" y="17190"/>
                <a:pt x="9626" y="16039"/>
                <a:pt x="9626" y="13569"/>
              </a:cubicBezTo>
              <a:cubicBezTo>
                <a:pt x="9626" y="11474"/>
                <a:pt x="8932" y="10452"/>
                <a:pt x="8558" y="9902"/>
              </a:cubicBezTo>
              <a:cubicBezTo>
                <a:pt x="8484" y="9791"/>
                <a:pt x="8394" y="9649"/>
                <a:pt x="8414" y="9680"/>
              </a:cubicBezTo>
              <a:cubicBezTo>
                <a:pt x="8384" y="9599"/>
                <a:pt x="8237" y="9129"/>
                <a:pt x="8449" y="8035"/>
              </a:cubicBezTo>
              <a:cubicBezTo>
                <a:pt x="8549" y="7522"/>
                <a:pt x="8380" y="7241"/>
                <a:pt x="8380" y="7241"/>
              </a:cubicBezTo>
              <a:cubicBezTo>
                <a:pt x="8112" y="6505"/>
                <a:pt x="7614" y="5133"/>
                <a:pt x="7988" y="4025"/>
              </a:cubicBezTo>
              <a:cubicBezTo>
                <a:pt x="8490" y="2492"/>
                <a:pt x="8935" y="2190"/>
                <a:pt x="9741" y="1747"/>
              </a:cubicBezTo>
              <a:cubicBezTo>
                <a:pt x="9788" y="1721"/>
                <a:pt x="9834" y="1691"/>
                <a:pt x="9877" y="1657"/>
              </a:cubicBezTo>
              <a:cubicBezTo>
                <a:pt x="10029" y="1535"/>
                <a:pt x="10674" y="1200"/>
                <a:pt x="11403" y="1200"/>
              </a:cubicBezTo>
              <a:cubicBezTo>
                <a:pt x="11768" y="1200"/>
                <a:pt x="12075" y="1285"/>
                <a:pt x="12318" y="1454"/>
              </a:cubicBezTo>
              <a:cubicBezTo>
                <a:pt x="12610" y="1655"/>
                <a:pt x="12890" y="2039"/>
                <a:pt x="13313" y="3271"/>
              </a:cubicBezTo>
              <a:cubicBezTo>
                <a:pt x="14101" y="5469"/>
                <a:pt x="13602" y="6698"/>
                <a:pt x="13350" y="7124"/>
              </a:cubicBezTo>
              <a:cubicBezTo>
                <a:pt x="13183" y="7407"/>
                <a:pt x="13126" y="7764"/>
                <a:pt x="13191" y="8102"/>
              </a:cubicBezTo>
              <a:cubicBezTo>
                <a:pt x="13386" y="9109"/>
                <a:pt x="13260" y="9534"/>
                <a:pt x="13227" y="9619"/>
              </a:cubicBezTo>
              <a:cubicBezTo>
                <a:pt x="13219" y="9631"/>
                <a:pt x="13101" y="9814"/>
                <a:pt x="13041" y="9902"/>
              </a:cubicBezTo>
              <a:cubicBezTo>
                <a:pt x="12668" y="10452"/>
                <a:pt x="11973" y="11474"/>
                <a:pt x="11973" y="13569"/>
              </a:cubicBezTo>
              <a:cubicBezTo>
                <a:pt x="11973" y="16039"/>
                <a:pt x="13545" y="17190"/>
                <a:pt x="14427" y="17477"/>
              </a:cubicBezTo>
              <a:lnTo>
                <a:pt x="14466" y="17493"/>
              </a:lnTo>
              <a:cubicBezTo>
                <a:pt x="15703" y="18036"/>
                <a:pt x="16914" y="18711"/>
                <a:pt x="17143" y="20400"/>
              </a:cubicBezTo>
              <a:cubicBezTo>
                <a:pt x="17143" y="20400"/>
                <a:pt x="4457" y="20400"/>
                <a:pt x="4457" y="20400"/>
              </a:cubicBezTo>
              <a:close/>
              <a:moveTo>
                <a:pt x="14715" y="16328"/>
              </a:moveTo>
              <a:cubicBezTo>
                <a:pt x="14715" y="16328"/>
                <a:pt x="12955" y="15815"/>
                <a:pt x="12955" y="13569"/>
              </a:cubicBezTo>
              <a:cubicBezTo>
                <a:pt x="12955" y="11596"/>
                <a:pt x="13678" y="10901"/>
                <a:pt x="13957" y="10421"/>
              </a:cubicBezTo>
              <a:cubicBezTo>
                <a:pt x="13957" y="10421"/>
                <a:pt x="14531" y="9807"/>
                <a:pt x="14146" y="7826"/>
              </a:cubicBezTo>
              <a:cubicBezTo>
                <a:pt x="14787" y="6740"/>
                <a:pt x="14995" y="4972"/>
                <a:pt x="14211" y="2789"/>
              </a:cubicBezTo>
              <a:cubicBezTo>
                <a:pt x="13774" y="1514"/>
                <a:pt x="13389" y="815"/>
                <a:pt x="12801" y="409"/>
              </a:cubicBezTo>
              <a:cubicBezTo>
                <a:pt x="12370" y="110"/>
                <a:pt x="11880" y="0"/>
                <a:pt x="11403" y="0"/>
              </a:cubicBezTo>
              <a:cubicBezTo>
                <a:pt x="10516" y="0"/>
                <a:pt x="9675" y="384"/>
                <a:pt x="9339" y="653"/>
              </a:cubicBezTo>
              <a:cubicBezTo>
                <a:pt x="8357" y="1192"/>
                <a:pt x="7697" y="1688"/>
                <a:pt x="7077" y="3579"/>
              </a:cubicBezTo>
              <a:cubicBezTo>
                <a:pt x="6540" y="5168"/>
                <a:pt x="7179" y="6892"/>
                <a:pt x="7494" y="7758"/>
              </a:cubicBezTo>
              <a:cubicBezTo>
                <a:pt x="7110" y="9740"/>
                <a:pt x="7642" y="10421"/>
                <a:pt x="7642" y="10421"/>
              </a:cubicBezTo>
              <a:cubicBezTo>
                <a:pt x="7922" y="10901"/>
                <a:pt x="8644" y="11596"/>
                <a:pt x="8644" y="13569"/>
              </a:cubicBezTo>
              <a:cubicBezTo>
                <a:pt x="8644" y="15815"/>
                <a:pt x="6885" y="16328"/>
                <a:pt x="6885" y="16328"/>
              </a:cubicBezTo>
              <a:cubicBezTo>
                <a:pt x="5768" y="16819"/>
                <a:pt x="3436" y="17760"/>
                <a:pt x="3436" y="21000"/>
              </a:cubicBezTo>
              <a:cubicBezTo>
                <a:pt x="3436" y="21000"/>
                <a:pt x="3436" y="21600"/>
                <a:pt x="3927" y="21600"/>
              </a:cubicBezTo>
              <a:lnTo>
                <a:pt x="17673" y="21600"/>
              </a:lnTo>
              <a:cubicBezTo>
                <a:pt x="18164" y="21600"/>
                <a:pt x="18164" y="21000"/>
                <a:pt x="18164" y="21000"/>
              </a:cubicBezTo>
              <a:cubicBezTo>
                <a:pt x="18164" y="17760"/>
                <a:pt x="15832" y="16819"/>
                <a:pt x="14715" y="16328"/>
              </a:cubicBezTo>
              <a:moveTo>
                <a:pt x="19516" y="15006"/>
              </a:moveTo>
              <a:cubicBezTo>
                <a:pt x="19516" y="15006"/>
                <a:pt x="18416" y="14701"/>
                <a:pt x="18416" y="12954"/>
              </a:cubicBezTo>
              <a:cubicBezTo>
                <a:pt x="18416" y="11419"/>
                <a:pt x="18794" y="10879"/>
                <a:pt x="19017" y="10506"/>
              </a:cubicBezTo>
              <a:cubicBezTo>
                <a:pt x="19017" y="10506"/>
                <a:pt x="19443" y="9975"/>
                <a:pt x="19136" y="8435"/>
              </a:cubicBezTo>
              <a:cubicBezTo>
                <a:pt x="19388" y="7760"/>
                <a:pt x="19900" y="6419"/>
                <a:pt x="19470" y="5184"/>
              </a:cubicBezTo>
              <a:cubicBezTo>
                <a:pt x="18974" y="3714"/>
                <a:pt x="18645" y="3327"/>
                <a:pt x="17860" y="2908"/>
              </a:cubicBezTo>
              <a:cubicBezTo>
                <a:pt x="17591" y="2699"/>
                <a:pt x="16918" y="2400"/>
                <a:pt x="16208" y="2400"/>
              </a:cubicBezTo>
              <a:cubicBezTo>
                <a:pt x="15873" y="2400"/>
                <a:pt x="15531" y="2473"/>
                <a:pt x="15218" y="2647"/>
              </a:cubicBezTo>
              <a:cubicBezTo>
                <a:pt x="15343" y="3035"/>
                <a:pt x="15449" y="3420"/>
                <a:pt x="15525" y="3799"/>
              </a:cubicBezTo>
              <a:cubicBezTo>
                <a:pt x="15537" y="3790"/>
                <a:pt x="15550" y="3779"/>
                <a:pt x="15563" y="3770"/>
              </a:cubicBezTo>
              <a:cubicBezTo>
                <a:pt x="15730" y="3657"/>
                <a:pt x="15948" y="3600"/>
                <a:pt x="16208" y="3600"/>
              </a:cubicBezTo>
              <a:cubicBezTo>
                <a:pt x="16716" y="3600"/>
                <a:pt x="17211" y="3825"/>
                <a:pt x="17332" y="3919"/>
              </a:cubicBezTo>
              <a:cubicBezTo>
                <a:pt x="17375" y="3953"/>
                <a:pt x="17421" y="3983"/>
                <a:pt x="17467" y="4008"/>
              </a:cubicBezTo>
              <a:cubicBezTo>
                <a:pt x="17950" y="4265"/>
                <a:pt x="18131" y="4362"/>
                <a:pt x="18562" y="5641"/>
              </a:cubicBezTo>
              <a:cubicBezTo>
                <a:pt x="18822" y="6387"/>
                <a:pt x="18452" y="7378"/>
                <a:pt x="18253" y="7911"/>
              </a:cubicBezTo>
              <a:cubicBezTo>
                <a:pt x="18161" y="8156"/>
                <a:pt x="18130" y="8457"/>
                <a:pt x="18182" y="8718"/>
              </a:cubicBezTo>
              <a:cubicBezTo>
                <a:pt x="18316" y="9392"/>
                <a:pt x="18254" y="9706"/>
                <a:pt x="18232" y="9784"/>
              </a:cubicBezTo>
              <a:cubicBezTo>
                <a:pt x="18230" y="9788"/>
                <a:pt x="18227" y="9793"/>
                <a:pt x="18224" y="9798"/>
              </a:cubicBezTo>
              <a:lnTo>
                <a:pt x="18191" y="9853"/>
              </a:lnTo>
              <a:cubicBezTo>
                <a:pt x="17926" y="10290"/>
                <a:pt x="17434" y="11106"/>
                <a:pt x="17434" y="12954"/>
              </a:cubicBezTo>
              <a:cubicBezTo>
                <a:pt x="17434" y="15019"/>
                <a:pt x="18570" y="15933"/>
                <a:pt x="19229" y="16155"/>
              </a:cubicBezTo>
              <a:cubicBezTo>
                <a:pt x="19856" y="16429"/>
                <a:pt x="20435" y="16859"/>
                <a:pt x="20582" y="17999"/>
              </a:cubicBezTo>
              <a:lnTo>
                <a:pt x="18459" y="18000"/>
              </a:lnTo>
              <a:cubicBezTo>
                <a:pt x="18647" y="18353"/>
                <a:pt x="18802" y="18755"/>
                <a:pt x="18920" y="19200"/>
              </a:cubicBezTo>
              <a:lnTo>
                <a:pt x="21109" y="19199"/>
              </a:lnTo>
              <a:cubicBezTo>
                <a:pt x="21600" y="19199"/>
                <a:pt x="21600" y="18599"/>
                <a:pt x="21600" y="18599"/>
              </a:cubicBezTo>
              <a:cubicBezTo>
                <a:pt x="21600" y="16199"/>
                <a:pt x="20410" y="15388"/>
                <a:pt x="19516" y="15006"/>
              </a:cubicBezTo>
              <a:moveTo>
                <a:pt x="2371" y="16155"/>
              </a:moveTo>
              <a:cubicBezTo>
                <a:pt x="3030" y="15933"/>
                <a:pt x="4166" y="15019"/>
                <a:pt x="4166" y="12954"/>
              </a:cubicBezTo>
              <a:cubicBezTo>
                <a:pt x="4166" y="11106"/>
                <a:pt x="3673" y="10290"/>
                <a:pt x="3409" y="9853"/>
              </a:cubicBezTo>
              <a:lnTo>
                <a:pt x="3376" y="9798"/>
              </a:lnTo>
              <a:cubicBezTo>
                <a:pt x="3373" y="9793"/>
                <a:pt x="3370" y="9788"/>
                <a:pt x="3367" y="9784"/>
              </a:cubicBezTo>
              <a:cubicBezTo>
                <a:pt x="3346" y="9706"/>
                <a:pt x="3283" y="9392"/>
                <a:pt x="3418" y="8718"/>
              </a:cubicBezTo>
              <a:cubicBezTo>
                <a:pt x="3470" y="8457"/>
                <a:pt x="3439" y="8156"/>
                <a:pt x="3347" y="7911"/>
              </a:cubicBezTo>
              <a:cubicBezTo>
                <a:pt x="3148" y="7378"/>
                <a:pt x="2778" y="6387"/>
                <a:pt x="3038" y="5641"/>
              </a:cubicBezTo>
              <a:cubicBezTo>
                <a:pt x="3469" y="4362"/>
                <a:pt x="3649" y="4265"/>
                <a:pt x="4133" y="4008"/>
              </a:cubicBezTo>
              <a:cubicBezTo>
                <a:pt x="4180" y="3983"/>
                <a:pt x="4225" y="3953"/>
                <a:pt x="4268" y="3919"/>
              </a:cubicBezTo>
              <a:cubicBezTo>
                <a:pt x="4389" y="3825"/>
                <a:pt x="4884" y="3600"/>
                <a:pt x="5392" y="3600"/>
              </a:cubicBezTo>
              <a:cubicBezTo>
                <a:pt x="5636" y="3600"/>
                <a:pt x="5839" y="3655"/>
                <a:pt x="6002" y="3755"/>
              </a:cubicBezTo>
              <a:cubicBezTo>
                <a:pt x="6045" y="3548"/>
                <a:pt x="6096" y="3341"/>
                <a:pt x="6165" y="3134"/>
              </a:cubicBezTo>
              <a:cubicBezTo>
                <a:pt x="6225" y="2950"/>
                <a:pt x="6289" y="2793"/>
                <a:pt x="6351" y="2630"/>
              </a:cubicBezTo>
              <a:cubicBezTo>
                <a:pt x="6046" y="2468"/>
                <a:pt x="5716" y="2400"/>
                <a:pt x="5392" y="2400"/>
              </a:cubicBezTo>
              <a:cubicBezTo>
                <a:pt x="4682" y="2400"/>
                <a:pt x="4009" y="2699"/>
                <a:pt x="3740" y="2908"/>
              </a:cubicBezTo>
              <a:cubicBezTo>
                <a:pt x="2955" y="3327"/>
                <a:pt x="2625" y="3714"/>
                <a:pt x="2130" y="5184"/>
              </a:cubicBezTo>
              <a:cubicBezTo>
                <a:pt x="1700" y="6419"/>
                <a:pt x="2212" y="7760"/>
                <a:pt x="2464" y="8435"/>
              </a:cubicBezTo>
              <a:cubicBezTo>
                <a:pt x="2156" y="9975"/>
                <a:pt x="2583" y="10506"/>
                <a:pt x="2583" y="10506"/>
              </a:cubicBezTo>
              <a:cubicBezTo>
                <a:pt x="2806" y="10879"/>
                <a:pt x="3185" y="11419"/>
                <a:pt x="3185" y="12954"/>
              </a:cubicBezTo>
              <a:cubicBezTo>
                <a:pt x="3185" y="14701"/>
                <a:pt x="2084" y="15006"/>
                <a:pt x="2084" y="15006"/>
              </a:cubicBezTo>
              <a:cubicBezTo>
                <a:pt x="1191" y="15388"/>
                <a:pt x="0" y="16199"/>
                <a:pt x="0" y="18599"/>
              </a:cubicBezTo>
              <a:cubicBezTo>
                <a:pt x="0" y="18599"/>
                <a:pt x="0" y="19199"/>
                <a:pt x="491" y="19199"/>
              </a:cubicBezTo>
              <a:lnTo>
                <a:pt x="2680" y="19200"/>
              </a:lnTo>
              <a:cubicBezTo>
                <a:pt x="2798" y="18755"/>
                <a:pt x="2952" y="18353"/>
                <a:pt x="3141" y="18000"/>
              </a:cubicBezTo>
              <a:lnTo>
                <a:pt x="1018" y="17999"/>
              </a:lnTo>
              <a:cubicBezTo>
                <a:pt x="1165" y="16859"/>
                <a:pt x="1744" y="16429"/>
                <a:pt x="2371" y="16155"/>
              </a:cubicBezTo>
            </a:path>
          </a:pathLst>
        </a:custGeom>
        <a:solidFill>
          <a:schemeClr val="tx1"/>
        </a:solidFill>
        <a:ln w="12700">
          <a:miter lim="400000"/>
        </a:ln>
      </xdr:spPr>
      <xdr:txBody>
        <a:bodyPr wrap="square" lIns="38081" tIns="38081" rIns="38081" bIns="38081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defTabSz="456950">
            <a:defRPr sz="3000" cap="none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Gill Sans"/>
              <a:cs typeface="Gill Sans"/>
              <a:sym typeface="Gill Sans"/>
            </a:defRPr>
          </a:pPr>
          <a:endParaRPr sz="2999">
            <a:solidFill>
              <a:srgbClr val="FFFFFF"/>
            </a:solidFill>
            <a:effectLst>
              <a:outerShdw blurRad="38100" dist="12700" dir="5400000" rotWithShape="0">
                <a:srgbClr val="000000">
                  <a:alpha val="50000"/>
                </a:srgbClr>
              </a:outerShdw>
            </a:effectLst>
            <a:latin typeface="Gill Sans"/>
            <a:ea typeface="Calibri" charset="0"/>
            <a:cs typeface="Calibri" charset="0"/>
            <a:sym typeface="Gill Sans"/>
          </a:endParaRPr>
        </a:p>
      </xdr:txBody>
    </xdr:sp>
    <xdr:clientData/>
  </xdr:twoCellAnchor>
  <xdr:twoCellAnchor>
    <xdr:from>
      <xdr:col>1</xdr:col>
      <xdr:colOff>346075</xdr:colOff>
      <xdr:row>25</xdr:row>
      <xdr:rowOff>778219</xdr:rowOff>
    </xdr:from>
    <xdr:to>
      <xdr:col>2</xdr:col>
      <xdr:colOff>1019359</xdr:colOff>
      <xdr:row>25</xdr:row>
      <xdr:rowOff>1239884</xdr:rowOff>
    </xdr:to>
    <xdr:sp macro="" textlink="">
      <xdr:nvSpPr>
        <xdr:cNvPr id="50" name="ZoneTexte 49"/>
        <xdr:cNvSpPr txBox="1"/>
      </xdr:nvSpPr>
      <xdr:spPr>
        <a:xfrm>
          <a:off x="552450" y="10652469"/>
          <a:ext cx="2149659" cy="461665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200" i="1" kern="1200">
              <a:solidFill>
                <a:schemeClr val="tx2"/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Auteur/Rédacteur</a:t>
          </a:r>
        </a:p>
        <a:p>
          <a:pPr marL="0" indent="0" algn="l" defTabSz="914400" rtl="0" eaLnBrk="1" latinLnBrk="0" hangingPunct="1"/>
          <a:r>
            <a:rPr lang="fr-FR" sz="1200" i="1" kern="1200">
              <a:solidFill>
                <a:schemeClr val="tx2"/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Pair/Validateur/Relecteur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403412</xdr:colOff>
      <xdr:row>1</xdr:row>
      <xdr:rowOff>78441</xdr:rowOff>
    </xdr:from>
    <xdr:to>
      <xdr:col>1</xdr:col>
      <xdr:colOff>1358468</xdr:colOff>
      <xdr:row>4</xdr:row>
      <xdr:rowOff>101301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131794" y="246529"/>
          <a:ext cx="923680" cy="627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148167</xdr:colOff>
      <xdr:row>43</xdr:row>
      <xdr:rowOff>83343</xdr:rowOff>
    </xdr:from>
    <xdr:to>
      <xdr:col>9</xdr:col>
      <xdr:colOff>297655</xdr:colOff>
      <xdr:row>44</xdr:row>
      <xdr:rowOff>47625</xdr:rowOff>
    </xdr:to>
    <xdr:sp macro="[0]!VérificateurSupplémentaire" textlink="">
      <xdr:nvSpPr>
        <xdr:cNvPr id="2" name="Rectangle à coins arrondis 1"/>
        <xdr:cNvSpPr/>
      </xdr:nvSpPr>
      <xdr:spPr bwMode="auto">
        <a:xfrm>
          <a:off x="11673417" y="6048374"/>
          <a:ext cx="1637769" cy="27384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65100" dist="114300" dir="8460000" sx="1000" sy="1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0"/>
          </a:lightRig>
        </a:scene3d>
        <a:sp3d extrusionH="76200" contourW="12700">
          <a:bevelT w="50800" h="63500" prst="angle"/>
          <a:bevelB w="50800" h="63500"/>
          <a:extrusionClr>
            <a:schemeClr val="bg1"/>
          </a:extrusionClr>
          <a:contourClr>
            <a:schemeClr val="tx1"/>
          </a:contourClr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1100" b="1" i="0">
              <a:latin typeface="Lato Hairline" panose="020F0502020204030203" pitchFamily="34" charset="0"/>
              <a:ea typeface="Lato Hairline" panose="020F0502020204030203" pitchFamily="34" charset="0"/>
              <a:cs typeface="Lato Hairline" panose="020F0502020204030203" pitchFamily="34" charset="0"/>
            </a:rPr>
            <a:t>+ Ajouter un </a:t>
          </a:r>
          <a:r>
            <a:rPr lang="fr-FR" sz="1100" b="1" i="0" u="none">
              <a:latin typeface="Lato Hairline" panose="020F0502020204030203" pitchFamily="34" charset="0"/>
              <a:ea typeface="Lato Hairline" panose="020F0502020204030203" pitchFamily="34" charset="0"/>
              <a:cs typeface="Lato Hairline" panose="020F0502020204030203" pitchFamily="34" charset="0"/>
            </a:rPr>
            <a:t>vérificateur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561975</xdr:colOff>
      <xdr:row>1</xdr:row>
      <xdr:rowOff>104775</xdr:rowOff>
    </xdr:from>
    <xdr:to>
      <xdr:col>1</xdr:col>
      <xdr:colOff>1485655</xdr:colOff>
      <xdr:row>4</xdr:row>
      <xdr:rowOff>123153</xdr:rowOff>
    </xdr:to>
    <xdr:pic>
      <xdr:nvPicPr>
        <xdr:cNvPr id="7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5800" y="161925"/>
          <a:ext cx="923680" cy="627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500737" name="TextBox1" hidden="1">
              <a:extLst>
                <a:ext uri="{63B3BB69-23CF-44E3-9099-C40C66FF867C}">
                  <a14:compatExt spid="_x0000_s50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00738" name="TextBox2" hidden="1">
              <a:extLst>
                <a:ext uri="{63B3BB69-23CF-44E3-9099-C40C66FF867C}">
                  <a14:compatExt spid="_x0000_s500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220980</xdr:colOff>
          <xdr:row>12</xdr:row>
          <xdr:rowOff>0</xdr:rowOff>
        </xdr:to>
        <xdr:sp macro="" textlink="">
          <xdr:nvSpPr>
            <xdr:cNvPr id="500739" name="TextBox3" hidden="1">
              <a:extLst>
                <a:ext uri="{63B3BB69-23CF-44E3-9099-C40C66FF867C}">
                  <a14:compatExt spid="_x0000_s500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12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00740" name="TextBox4" hidden="1">
              <a:extLst>
                <a:ext uri="{63B3BB69-23CF-44E3-9099-C40C66FF867C}">
                  <a14:compatExt spid="_x0000_s500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0</xdr:rowOff>
        </xdr:from>
        <xdr:to>
          <xdr:col>5</xdr:col>
          <xdr:colOff>1028700</xdr:colOff>
          <xdr:row>12</xdr:row>
          <xdr:rowOff>0</xdr:rowOff>
        </xdr:to>
        <xdr:sp macro="" textlink="">
          <xdr:nvSpPr>
            <xdr:cNvPr id="500741" name="TextBox5" hidden="1">
              <a:extLst>
                <a:ext uri="{63B3BB69-23CF-44E3-9099-C40C66FF867C}">
                  <a14:compatExt spid="_x0000_s500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990600</xdr:colOff>
          <xdr:row>12</xdr:row>
          <xdr:rowOff>0</xdr:rowOff>
        </xdr:from>
        <xdr:to>
          <xdr:col>8</xdr:col>
          <xdr:colOff>1181100</xdr:colOff>
          <xdr:row>12</xdr:row>
          <xdr:rowOff>0</xdr:rowOff>
        </xdr:to>
        <xdr:sp macro="" textlink="">
          <xdr:nvSpPr>
            <xdr:cNvPr id="500742" name="TextBox6" hidden="1">
              <a:extLst>
                <a:ext uri="{63B3BB69-23CF-44E3-9099-C40C66FF867C}">
                  <a14:compatExt spid="_x0000_s500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1173480</xdr:colOff>
          <xdr:row>12</xdr:row>
          <xdr:rowOff>0</xdr:rowOff>
        </xdr:from>
        <xdr:to>
          <xdr:col>9</xdr:col>
          <xdr:colOff>7620</xdr:colOff>
          <xdr:row>12</xdr:row>
          <xdr:rowOff>0</xdr:rowOff>
        </xdr:to>
        <xdr:sp macro="" textlink="">
          <xdr:nvSpPr>
            <xdr:cNvPr id="500743" name="TextBox7" hidden="1">
              <a:extLst>
                <a:ext uri="{63B3BB69-23CF-44E3-9099-C40C66FF867C}">
                  <a14:compatExt spid="_x0000_s500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</xdr:col>
      <xdr:colOff>542925</xdr:colOff>
      <xdr:row>1</xdr:row>
      <xdr:rowOff>57150</xdr:rowOff>
    </xdr:from>
    <xdr:to>
      <xdr:col>1</xdr:col>
      <xdr:colOff>1466605</xdr:colOff>
      <xdr:row>4</xdr:row>
      <xdr:rowOff>132678</xdr:rowOff>
    </xdr:to>
    <xdr:pic>
      <xdr:nvPicPr>
        <xdr:cNvPr id="12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66750" y="114300"/>
          <a:ext cx="923680" cy="627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2915580</xdr:colOff>
      <xdr:row>26</xdr:row>
      <xdr:rowOff>46463</xdr:rowOff>
    </xdr:from>
    <xdr:to>
      <xdr:col>5</xdr:col>
      <xdr:colOff>3438292</xdr:colOff>
      <xdr:row>26</xdr:row>
      <xdr:rowOff>290397</xdr:rowOff>
    </xdr:to>
    <xdr:sp macro="[0]!NouvelleLigne" textlink="">
      <xdr:nvSpPr>
        <xdr:cNvPr id="2" name="Rectangle à coins arrondis 1"/>
        <xdr:cNvSpPr/>
      </xdr:nvSpPr>
      <xdr:spPr bwMode="auto">
        <a:xfrm>
          <a:off x="7538690" y="4611493"/>
          <a:ext cx="522712" cy="24393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2000">
              <a:solidFill>
                <a:sysClr val="windowText" lastClr="000000"/>
              </a:solidFill>
            </a:rPr>
            <a:t>+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SII 202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59A3"/>
      </a:accent1>
      <a:accent2>
        <a:srgbClr val="75519B"/>
      </a:accent2>
      <a:accent3>
        <a:srgbClr val="53A2DA"/>
      </a:accent3>
      <a:accent4>
        <a:srgbClr val="86BC25"/>
      </a:accent4>
      <a:accent5>
        <a:srgbClr val="E84654"/>
      </a:accent5>
      <a:accent6>
        <a:srgbClr val="F3995B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mbre extrême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48000">
              <a:schemeClr val="phClr">
                <a:tint val="54000"/>
                <a:satMod val="140000"/>
              </a:schemeClr>
            </a:gs>
            <a:gs pos="100000">
              <a:schemeClr val="phClr">
                <a:tint val="24000"/>
                <a:satMod val="260000"/>
              </a:schemeClr>
            </a:gs>
          </a:gsLst>
          <a:lin ang="1620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48000"/>
                <a:satMod val="180000"/>
                <a:lumMod val="94000"/>
              </a:schemeClr>
            </a:gs>
            <a:gs pos="100000">
              <a:schemeClr val="phClr">
                <a:shade val="48000"/>
                <a:satMod val="180000"/>
                <a:lumMod val="94000"/>
              </a:schemeClr>
            </a:gs>
          </a:gsLst>
          <a:lin ang="4140000" scaled="1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12700" dir="5400000" sx="102000" sy="102000" rotWithShape="0">
              <a:srgbClr val="000000">
                <a:alpha val="32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9800000"/>
            </a:lightRig>
          </a:scene3d>
          <a:sp3d prstMaterial="plastic">
            <a:bevelT w="25400" h="19050"/>
          </a:sp3d>
        </a:effectStyle>
        <a:effectStyle>
          <a:effectLst>
            <a:outerShdw blurRad="114300" dist="1143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19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ontrol" Target="../activeX/activeX12.xml"/><Relationship Id="rId3" Type="http://schemas.openxmlformats.org/officeDocument/2006/relationships/drawing" Target="../drawings/drawing4.xml"/><Relationship Id="rId7" Type="http://schemas.openxmlformats.org/officeDocument/2006/relationships/control" Target="../activeX/activeX9.xml"/><Relationship Id="rId12" Type="http://schemas.openxmlformats.org/officeDocument/2006/relationships/image" Target="../media/image13.emf"/><Relationship Id="rId17" Type="http://schemas.openxmlformats.org/officeDocument/2006/relationships/control" Target="../activeX/activeX14.xml"/><Relationship Id="rId2" Type="http://schemas.openxmlformats.org/officeDocument/2006/relationships/printerSettings" Target="../printerSettings/printerSettings8.bin"/><Relationship Id="rId16" Type="http://schemas.openxmlformats.org/officeDocument/2006/relationships/image" Target="../media/image15.emf"/><Relationship Id="rId1" Type="http://schemas.openxmlformats.org/officeDocument/2006/relationships/printerSettings" Target="../printerSettings/printerSettings7.bin"/><Relationship Id="rId6" Type="http://schemas.openxmlformats.org/officeDocument/2006/relationships/image" Target="../media/image10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2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Relationship Id="rId1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4" tint="-0.249977111117893"/>
    <pageSetUpPr fitToPage="1"/>
  </sheetPr>
  <dimension ref="B1:AE34"/>
  <sheetViews>
    <sheetView showGridLines="0" tabSelected="1" zoomScale="60" zoomScaleNormal="60" workbookViewId="0">
      <selection activeCell="L25" sqref="L25"/>
    </sheetView>
  </sheetViews>
  <sheetFormatPr baseColWidth="10" defaultRowHeight="13.2" x14ac:dyDescent="0.25"/>
  <cols>
    <col min="1" max="1" width="3" customWidth="1"/>
    <col min="2" max="2" width="22.109375" customWidth="1"/>
    <col min="3" max="10" width="19" customWidth="1"/>
    <col min="11" max="11" width="65.33203125" customWidth="1"/>
    <col min="12" max="12" width="25.88671875" customWidth="1"/>
    <col min="13" max="13" width="39.33203125" customWidth="1"/>
    <col min="14" max="14" width="30.44140625" customWidth="1"/>
    <col min="15" max="15" width="40.88671875" customWidth="1"/>
    <col min="16" max="16" width="19" customWidth="1"/>
    <col min="17" max="17" width="32.109375" customWidth="1"/>
  </cols>
  <sheetData>
    <row r="1" spans="2:31" ht="13.8" thickBot="1" x14ac:dyDescent="0.3"/>
    <row r="2" spans="2:31" s="1" customFormat="1" ht="18" customHeight="1" thickTop="1" x14ac:dyDescent="0.35">
      <c r="B2" s="228"/>
      <c r="C2" s="232" t="str">
        <f>TypeDoc</f>
        <v>Fiche de revue de pairs</v>
      </c>
      <c r="D2" s="232"/>
      <c r="E2" s="232"/>
      <c r="F2" s="232"/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3"/>
      <c r="R2" s="3"/>
      <c r="S2" s="3"/>
    </row>
    <row r="3" spans="2:31" s="1" customFormat="1" ht="15.75" customHeight="1" x14ac:dyDescent="0.35">
      <c r="B3" s="229"/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/>
      <c r="R3" s="3"/>
      <c r="S3" s="3"/>
    </row>
    <row r="4" spans="2:31" s="1" customFormat="1" ht="16.5" customHeight="1" x14ac:dyDescent="0.35">
      <c r="B4" s="229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5"/>
      <c r="R4" s="3"/>
      <c r="S4" s="3"/>
    </row>
    <row r="5" spans="2:31" s="1" customFormat="1" ht="16.5" customHeight="1" x14ac:dyDescent="0.35">
      <c r="B5" s="229"/>
      <c r="C5" s="234"/>
      <c r="D5" s="234"/>
      <c r="E5" s="234"/>
      <c r="F5" s="234"/>
      <c r="G5" s="234"/>
      <c r="H5" s="234"/>
      <c r="I5" s="234"/>
      <c r="J5" s="234"/>
      <c r="K5" s="234"/>
      <c r="L5" s="234"/>
      <c r="M5" s="234"/>
      <c r="N5" s="234"/>
      <c r="O5" s="234"/>
      <c r="P5" s="234"/>
      <c r="Q5" s="235"/>
      <c r="R5" s="3"/>
      <c r="S5" s="3"/>
    </row>
    <row r="6" spans="2:31" s="1" customFormat="1" ht="20.25" customHeight="1" x14ac:dyDescent="0.35">
      <c r="B6" s="52" t="str">
        <f>agence</f>
        <v>Toulouse</v>
      </c>
      <c r="C6" s="230"/>
      <c r="D6" s="230"/>
      <c r="E6" s="230"/>
      <c r="F6" s="230"/>
      <c r="G6" s="230"/>
      <c r="H6" s="230"/>
      <c r="I6" s="231"/>
      <c r="J6" s="255"/>
      <c r="K6" s="256"/>
      <c r="L6" s="256"/>
      <c r="M6" s="256"/>
      <c r="N6" s="256"/>
      <c r="O6" s="256"/>
      <c r="P6" s="256"/>
      <c r="Q6" s="257"/>
      <c r="R6" s="3"/>
      <c r="S6" s="3"/>
    </row>
    <row r="7" spans="2:31" s="2" customFormat="1" ht="4.5" customHeight="1" x14ac:dyDescent="0.35">
      <c r="B7" s="258"/>
      <c r="C7" s="259"/>
      <c r="D7" s="259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59"/>
      <c r="P7" s="259"/>
      <c r="Q7" s="260"/>
    </row>
    <row r="8" spans="2:31" s="2" customFormat="1" ht="24" customHeight="1" x14ac:dyDescent="0.35">
      <c r="B8" s="246" t="s">
        <v>19</v>
      </c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8"/>
    </row>
    <row r="9" spans="2:31" s="10" customFormat="1" ht="18" x14ac:dyDescent="0.35">
      <c r="B9" s="14"/>
      <c r="C9" s="249"/>
      <c r="D9" s="249"/>
      <c r="E9" s="249"/>
      <c r="F9" s="249"/>
      <c r="G9" s="249"/>
      <c r="H9" s="250"/>
      <c r="I9" s="250"/>
      <c r="J9" s="250"/>
      <c r="K9" s="250"/>
      <c r="L9" s="250"/>
      <c r="M9" s="250"/>
      <c r="N9" s="250"/>
      <c r="O9" s="250"/>
      <c r="P9" s="250"/>
      <c r="Q9" s="251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9"/>
      <c r="AE9" s="9"/>
    </row>
    <row r="10" spans="2:31" s="10" customFormat="1" ht="18" x14ac:dyDescent="0.35">
      <c r="B10" s="19">
        <v>1</v>
      </c>
      <c r="C10" s="264" t="s">
        <v>22</v>
      </c>
      <c r="D10" s="265"/>
      <c r="E10" s="15"/>
      <c r="F10" s="15"/>
      <c r="G10" s="15"/>
      <c r="H10" s="4"/>
      <c r="I10" s="5"/>
      <c r="J10" s="6"/>
      <c r="K10" s="6"/>
      <c r="L10" s="6"/>
      <c r="M10" s="6"/>
      <c r="N10" s="6"/>
      <c r="O10" s="6"/>
      <c r="P10" s="6"/>
      <c r="Q10" s="7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9"/>
      <c r="AE10" s="9"/>
    </row>
    <row r="11" spans="2:31" s="10" customFormat="1" ht="18" x14ac:dyDescent="0.35">
      <c r="B11" s="16"/>
      <c r="C11" s="266" t="s">
        <v>42</v>
      </c>
      <c r="D11" s="266"/>
      <c r="E11" s="266"/>
      <c r="F11" s="266"/>
      <c r="G11" s="266"/>
      <c r="H11" s="267"/>
      <c r="I11" s="267"/>
      <c r="J11" s="267"/>
      <c r="K11" s="267"/>
      <c r="L11" s="267"/>
      <c r="M11" s="267"/>
      <c r="N11" s="267"/>
      <c r="O11" s="267"/>
      <c r="P11" s="267"/>
      <c r="Q11" s="26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9"/>
      <c r="AE11" s="9"/>
    </row>
    <row r="12" spans="2:31" s="10" customFormat="1" ht="18" x14ac:dyDescent="0.35">
      <c r="B12" s="16"/>
      <c r="C12" s="252" t="s">
        <v>219</v>
      </c>
      <c r="D12" s="252"/>
      <c r="E12" s="252"/>
      <c r="F12" s="252"/>
      <c r="G12" s="252"/>
      <c r="H12" s="253"/>
      <c r="I12" s="253"/>
      <c r="J12" s="253"/>
      <c r="K12" s="253"/>
      <c r="L12" s="253"/>
      <c r="M12" s="253"/>
      <c r="N12" s="253"/>
      <c r="O12" s="253"/>
      <c r="P12" s="253"/>
      <c r="Q12" s="254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9"/>
      <c r="AE12" s="9"/>
    </row>
    <row r="13" spans="2:31" s="10" customFormat="1" ht="24.75" customHeight="1" x14ac:dyDescent="0.35">
      <c r="B13" s="16"/>
      <c r="C13" s="269" t="s">
        <v>21</v>
      </c>
      <c r="D13" s="269"/>
      <c r="E13" s="269"/>
      <c r="F13" s="269"/>
      <c r="G13" s="269"/>
      <c r="H13" s="270"/>
      <c r="I13" s="270"/>
      <c r="J13" s="270"/>
      <c r="K13" s="270"/>
      <c r="L13" s="270"/>
      <c r="M13" s="270"/>
      <c r="N13" s="270"/>
      <c r="O13" s="270"/>
      <c r="P13" s="270"/>
      <c r="Q13" s="271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9"/>
      <c r="AE13" s="9"/>
    </row>
    <row r="14" spans="2:31" s="10" customFormat="1" ht="18" x14ac:dyDescent="0.35">
      <c r="B14" s="17" t="s">
        <v>23</v>
      </c>
      <c r="C14" s="272" t="s">
        <v>20</v>
      </c>
      <c r="D14" s="272"/>
      <c r="E14" s="272"/>
      <c r="F14" s="272"/>
      <c r="G14" s="272"/>
      <c r="H14" s="267"/>
      <c r="I14" s="267"/>
      <c r="J14" s="267"/>
      <c r="K14" s="267"/>
      <c r="L14" s="267"/>
      <c r="M14" s="267"/>
      <c r="N14" s="267"/>
      <c r="O14" s="267"/>
      <c r="P14" s="267"/>
      <c r="Q14" s="268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2:31" s="10" customFormat="1" ht="8.25" customHeight="1" x14ac:dyDescent="0.35">
      <c r="B15" s="16"/>
      <c r="C15" s="273" t="s">
        <v>252</v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6"/>
      <c r="P15" s="6"/>
      <c r="Q15" s="12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9"/>
      <c r="AE15" s="9"/>
    </row>
    <row r="16" spans="2:31" s="10" customFormat="1" ht="42.75" customHeight="1" x14ac:dyDescent="0.35">
      <c r="B16" s="16"/>
      <c r="C16" s="273"/>
      <c r="D16" s="273"/>
      <c r="E16" s="273"/>
      <c r="F16" s="273"/>
      <c r="G16" s="273"/>
      <c r="H16" s="273"/>
      <c r="I16" s="273"/>
      <c r="J16" s="273"/>
      <c r="K16" s="273"/>
      <c r="L16" s="273"/>
      <c r="M16" s="273"/>
      <c r="N16" s="273"/>
      <c r="O16" s="115"/>
      <c r="P16" s="115"/>
      <c r="Q16" s="116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2:31" s="10" customFormat="1" ht="18.600000000000001" thickBot="1" x14ac:dyDescent="0.4">
      <c r="B17" s="16"/>
      <c r="C17" s="261" t="s">
        <v>89</v>
      </c>
      <c r="D17" s="261"/>
      <c r="E17" s="261"/>
      <c r="F17" s="261"/>
      <c r="G17" s="261"/>
      <c r="H17" s="262"/>
      <c r="I17" s="262"/>
      <c r="J17" s="262"/>
      <c r="K17" s="262"/>
      <c r="L17" s="262"/>
      <c r="M17" s="262"/>
      <c r="N17" s="262"/>
      <c r="O17" s="262"/>
      <c r="P17" s="262"/>
      <c r="Q17" s="263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2:31" s="10" customFormat="1" ht="57" customHeight="1" thickBot="1" x14ac:dyDescent="0.4">
      <c r="B18" s="16"/>
      <c r="C18" s="112"/>
      <c r="D18" s="112"/>
      <c r="E18" s="112"/>
      <c r="F18" s="112"/>
      <c r="G18" s="112"/>
      <c r="H18" s="113"/>
      <c r="I18" s="113"/>
      <c r="J18" s="113"/>
      <c r="K18" s="152" t="s">
        <v>221</v>
      </c>
      <c r="L18" s="152" t="s">
        <v>215</v>
      </c>
      <c r="M18" s="152" t="s">
        <v>211</v>
      </c>
      <c r="N18" s="152" t="s">
        <v>216</v>
      </c>
      <c r="O18" s="152" t="s">
        <v>217</v>
      </c>
      <c r="P18" s="115"/>
      <c r="Q18" s="116"/>
      <c r="R18" s="11"/>
      <c r="X18" s="11"/>
      <c r="Y18" s="11"/>
      <c r="Z18" s="11"/>
      <c r="AA18" s="11"/>
      <c r="AB18" s="11"/>
      <c r="AC18" s="11"/>
    </row>
    <row r="19" spans="2:31" s="10" customFormat="1" ht="36.75" customHeight="1" thickTop="1" x14ac:dyDescent="0.35">
      <c r="B19" s="16"/>
      <c r="C19" s="112"/>
      <c r="D19" s="112"/>
      <c r="E19" s="112"/>
      <c r="F19" s="112"/>
      <c r="G19" s="112"/>
      <c r="H19" s="113"/>
      <c r="I19" s="113"/>
      <c r="J19" s="113"/>
      <c r="K19" s="157" t="s">
        <v>90</v>
      </c>
      <c r="L19" s="222" t="s">
        <v>91</v>
      </c>
      <c r="M19" s="222" t="s">
        <v>92</v>
      </c>
      <c r="N19" s="222" t="s">
        <v>93</v>
      </c>
      <c r="O19" s="222" t="s">
        <v>242</v>
      </c>
      <c r="P19" s="115"/>
      <c r="Q19" s="116"/>
      <c r="R19" s="11"/>
      <c r="X19" s="11"/>
      <c r="Y19" s="11"/>
      <c r="Z19" s="11"/>
      <c r="AA19" s="11"/>
      <c r="AB19" s="11"/>
      <c r="AC19" s="11"/>
    </row>
    <row r="20" spans="2:31" s="10" customFormat="1" ht="56.25" customHeight="1" thickBot="1" x14ac:dyDescent="0.4">
      <c r="B20" s="16"/>
      <c r="C20" s="112"/>
      <c r="D20" s="112"/>
      <c r="E20" s="112"/>
      <c r="F20" s="112"/>
      <c r="G20" s="112"/>
      <c r="H20" s="113"/>
      <c r="I20" s="113"/>
      <c r="J20" s="113"/>
      <c r="K20" s="154" t="s">
        <v>213</v>
      </c>
      <c r="L20" s="227"/>
      <c r="M20" s="223"/>
      <c r="N20" s="223"/>
      <c r="O20" s="223"/>
      <c r="P20" s="115"/>
      <c r="Q20" s="116"/>
      <c r="R20" s="11"/>
      <c r="X20" s="11"/>
      <c r="Y20" s="11"/>
      <c r="Z20" s="11"/>
      <c r="AA20" s="11"/>
      <c r="AB20" s="11"/>
      <c r="AC20" s="11"/>
    </row>
    <row r="21" spans="2:31" s="10" customFormat="1" ht="28.5" customHeight="1" x14ac:dyDescent="0.35">
      <c r="B21" s="16"/>
      <c r="C21" s="114"/>
      <c r="D21" s="114"/>
      <c r="E21" s="114"/>
      <c r="F21" s="114"/>
      <c r="G21" s="114"/>
      <c r="H21" s="114"/>
      <c r="I21" s="114"/>
      <c r="J21" s="114"/>
      <c r="K21" s="156" t="s">
        <v>241</v>
      </c>
      <c r="L21" s="227"/>
      <c r="M21" s="224" t="s">
        <v>223</v>
      </c>
      <c r="N21" s="224" t="s">
        <v>93</v>
      </c>
      <c r="O21" s="224" t="s">
        <v>243</v>
      </c>
      <c r="P21" s="114"/>
      <c r="Q21" s="121"/>
      <c r="R21" s="11"/>
      <c r="X21" s="11"/>
      <c r="Y21" s="11"/>
      <c r="Z21" s="11"/>
      <c r="AA21" s="11"/>
      <c r="AB21" s="11"/>
      <c r="AC21" s="11"/>
    </row>
    <row r="22" spans="2:31" s="10" customFormat="1" ht="117.75" customHeight="1" thickBot="1" x14ac:dyDescent="0.4">
      <c r="B22" s="16"/>
      <c r="C22" s="114"/>
      <c r="D22" s="114"/>
      <c r="E22" s="114"/>
      <c r="F22" s="114"/>
      <c r="G22" s="114"/>
      <c r="H22" s="114"/>
      <c r="I22" s="114"/>
      <c r="J22" s="114"/>
      <c r="K22" s="153" t="s">
        <v>212</v>
      </c>
      <c r="L22" s="227"/>
      <c r="M22" s="225"/>
      <c r="N22" s="225"/>
      <c r="O22" s="225"/>
      <c r="P22" s="114"/>
      <c r="Q22" s="121"/>
      <c r="R22" s="11"/>
      <c r="X22" s="11"/>
      <c r="Y22" s="11"/>
      <c r="Z22" s="11"/>
      <c r="AA22" s="11"/>
      <c r="AB22" s="11"/>
      <c r="AC22" s="11"/>
    </row>
    <row r="23" spans="2:31" s="10" customFormat="1" ht="25.5" customHeight="1" x14ac:dyDescent="0.35">
      <c r="B23" s="16"/>
      <c r="C23" s="114"/>
      <c r="D23" s="114"/>
      <c r="E23" s="114"/>
      <c r="F23" s="114"/>
      <c r="G23" s="114"/>
      <c r="H23" s="114"/>
      <c r="I23" s="114"/>
      <c r="J23" s="114"/>
      <c r="K23" s="158" t="s">
        <v>94</v>
      </c>
      <c r="L23" s="227"/>
      <c r="M23" s="226" t="s">
        <v>214</v>
      </c>
      <c r="N23" s="226" t="s">
        <v>97</v>
      </c>
      <c r="O23" s="226" t="s">
        <v>96</v>
      </c>
      <c r="P23" s="114"/>
      <c r="Q23" s="121"/>
      <c r="R23" s="8"/>
      <c r="X23" s="8"/>
      <c r="Y23" s="8"/>
      <c r="Z23" s="8"/>
      <c r="AA23" s="8"/>
      <c r="AB23" s="8"/>
      <c r="AC23" s="8"/>
      <c r="AD23" s="9"/>
      <c r="AE23" s="9"/>
    </row>
    <row r="24" spans="2:31" s="10" customFormat="1" ht="80.25" customHeight="1" thickBot="1" x14ac:dyDescent="0.4">
      <c r="B24" s="16"/>
      <c r="C24" s="114"/>
      <c r="D24" s="114"/>
      <c r="E24" s="114"/>
      <c r="F24" s="114"/>
      <c r="G24" s="114"/>
      <c r="H24" s="114"/>
      <c r="I24" s="114"/>
      <c r="J24" s="114"/>
      <c r="K24" s="155" t="s">
        <v>95</v>
      </c>
      <c r="L24" s="223"/>
      <c r="M24" s="223"/>
      <c r="N24" s="223"/>
      <c r="O24" s="223"/>
      <c r="P24" s="114"/>
      <c r="Q24" s="121"/>
      <c r="R24" s="8"/>
      <c r="X24" s="8"/>
      <c r="Y24" s="8"/>
      <c r="Z24" s="8"/>
      <c r="AA24" s="8"/>
      <c r="AB24" s="8"/>
      <c r="AC24" s="8"/>
      <c r="AD24" s="9"/>
      <c r="AE24" s="9"/>
    </row>
    <row r="25" spans="2:31" s="10" customFormat="1" ht="80.25" customHeight="1" x14ac:dyDescent="0.35">
      <c r="B25" s="16"/>
      <c r="C25" s="143"/>
      <c r="D25" s="143"/>
      <c r="E25" s="143"/>
      <c r="F25" s="143"/>
      <c r="G25" s="143"/>
      <c r="H25" s="143"/>
      <c r="I25" s="143"/>
      <c r="J25" s="143"/>
      <c r="K25" s="148"/>
      <c r="L25" s="149"/>
      <c r="M25" s="150"/>
      <c r="N25" s="151"/>
      <c r="O25" s="151"/>
      <c r="P25" s="143"/>
      <c r="Q25" s="121"/>
      <c r="R25" s="8"/>
      <c r="X25" s="8"/>
      <c r="Y25" s="8"/>
      <c r="Z25" s="8"/>
      <c r="AA25" s="8"/>
      <c r="AB25" s="8"/>
      <c r="AC25" s="8"/>
      <c r="AD25" s="9"/>
      <c r="AE25" s="9"/>
    </row>
    <row r="26" spans="2:31" s="10" customFormat="1" ht="249.75" customHeight="1" thickBot="1" x14ac:dyDescent="0.4">
      <c r="B26" s="122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4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9"/>
      <c r="AE26" s="9"/>
    </row>
    <row r="27" spans="2:31" s="10" customFormat="1" ht="48.75" customHeight="1" thickTop="1" thickBot="1" x14ac:dyDescent="0.4">
      <c r="B27" s="220"/>
      <c r="C27" s="220"/>
      <c r="D27" s="220"/>
      <c r="E27" s="220"/>
      <c r="F27" s="220"/>
      <c r="G27" s="220"/>
      <c r="H27" s="220"/>
      <c r="I27" s="220"/>
      <c r="J27" s="220"/>
      <c r="K27" s="220"/>
      <c r="L27" s="220"/>
      <c r="M27" s="220"/>
      <c r="N27" s="220"/>
      <c r="O27" s="220"/>
      <c r="P27" s="220"/>
      <c r="Q27" s="220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9"/>
      <c r="AE27" s="9"/>
    </row>
    <row r="28" spans="2:31" s="2" customFormat="1" ht="24" customHeight="1" thickTop="1" x14ac:dyDescent="0.35">
      <c r="B28" s="239" t="s">
        <v>30</v>
      </c>
      <c r="C28" s="240"/>
      <c r="D28" s="240"/>
      <c r="E28" s="240"/>
      <c r="F28" s="240"/>
      <c r="G28" s="240"/>
      <c r="H28" s="240"/>
      <c r="I28" s="240"/>
      <c r="J28" s="240"/>
      <c r="K28" s="240"/>
      <c r="L28" s="240"/>
      <c r="M28" s="240"/>
      <c r="N28" s="240"/>
      <c r="O28" s="240"/>
      <c r="P28" s="240"/>
      <c r="Q28" s="241"/>
    </row>
    <row r="29" spans="2:31" s="2" customFormat="1" ht="5.25" customHeight="1" x14ac:dyDescent="0.3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2"/>
    </row>
    <row r="30" spans="2:31" s="18" customFormat="1" ht="20.100000000000001" customHeight="1" x14ac:dyDescent="0.25">
      <c r="B30" s="48" t="s">
        <v>2</v>
      </c>
      <c r="C30" s="49" t="s">
        <v>0</v>
      </c>
      <c r="D30" s="49" t="s">
        <v>31</v>
      </c>
      <c r="E30" s="49" t="s">
        <v>16</v>
      </c>
      <c r="F30" s="242" t="s">
        <v>32</v>
      </c>
      <c r="G30" s="242"/>
      <c r="H30" s="242"/>
      <c r="I30" s="242"/>
      <c r="J30" s="242"/>
      <c r="K30" s="243"/>
      <c r="L30" s="243"/>
      <c r="M30" s="243"/>
      <c r="N30" s="243"/>
      <c r="O30" s="243"/>
      <c r="P30" s="243"/>
      <c r="Q30" s="244"/>
    </row>
    <row r="31" spans="2:31" ht="30.6" customHeight="1" x14ac:dyDescent="0.25">
      <c r="B31" s="53" t="s">
        <v>224</v>
      </c>
      <c r="C31" s="51">
        <v>44965</v>
      </c>
      <c r="D31" s="50" t="s">
        <v>225</v>
      </c>
      <c r="E31" s="207" t="s">
        <v>226</v>
      </c>
      <c r="F31" s="245" t="s">
        <v>227</v>
      </c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8"/>
    </row>
    <row r="32" spans="2:31" ht="15" customHeight="1" x14ac:dyDescent="0.25">
      <c r="B32" s="53"/>
      <c r="C32" s="51"/>
      <c r="D32" s="50"/>
      <c r="E32" s="50"/>
      <c r="F32" s="236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8"/>
    </row>
    <row r="33" spans="2:17" ht="15" customHeight="1" x14ac:dyDescent="0.25">
      <c r="B33" s="53"/>
      <c r="C33" s="51"/>
      <c r="D33" s="50"/>
      <c r="E33" s="50"/>
      <c r="F33" s="236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8"/>
    </row>
    <row r="34" spans="2:17" ht="15" customHeight="1" x14ac:dyDescent="0.25">
      <c r="B34" s="53"/>
      <c r="C34" s="51"/>
      <c r="D34" s="50"/>
      <c r="E34" s="50"/>
      <c r="F34" s="236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8"/>
    </row>
  </sheetData>
  <sheetProtection selectLockedCells="1"/>
  <customSheetViews>
    <customSheetView guid="{352E0FD3-3DC0-4799-BF18-7F7B8D094994}" scale="70" showGridLines="0" fitToPage="1">
      <selection activeCell="C2" sqref="C2:K5"/>
      <pageMargins left="0.39370078740157483" right="0.39370078740157483" top="0.78740157480314965" bottom="0.78740157480314965" header="0.39370078740157483" footer="0.39370078740157483"/>
      <printOptions horizontalCentered="1" verticalCentered="1"/>
      <pageSetup paperSize="9" scale="64" orientation="landscape" r:id="rId1"/>
      <headerFooter alignWithMargins="0">
        <oddFooter>&amp;L&amp;"Trebuchet MS,Gras"&amp;12Onglet &amp;A &amp;P / &amp;N&amp;C&amp;"Trebuchet MS,Italique"&amp;12- Ce document est la propriété du groupe SII -&amp;R&amp;"Trebuchet MS,Gras"&amp;12&amp;F</oddFooter>
      </headerFooter>
    </customSheetView>
  </customSheetViews>
  <mergeCells count="30">
    <mergeCell ref="C12:Q12"/>
    <mergeCell ref="J6:Q6"/>
    <mergeCell ref="B7:Q7"/>
    <mergeCell ref="C17:Q17"/>
    <mergeCell ref="C10:D10"/>
    <mergeCell ref="C11:Q11"/>
    <mergeCell ref="C13:Q13"/>
    <mergeCell ref="C14:Q14"/>
    <mergeCell ref="C15:N16"/>
    <mergeCell ref="L19:L24"/>
    <mergeCell ref="B2:B5"/>
    <mergeCell ref="C6:I6"/>
    <mergeCell ref="C2:Q5"/>
    <mergeCell ref="F34:Q34"/>
    <mergeCell ref="B28:Q28"/>
    <mergeCell ref="F30:Q30"/>
    <mergeCell ref="F31:Q31"/>
    <mergeCell ref="F32:Q32"/>
    <mergeCell ref="F33:Q33"/>
    <mergeCell ref="N21:N22"/>
    <mergeCell ref="O21:O22"/>
    <mergeCell ref="N23:N24"/>
    <mergeCell ref="O23:O24"/>
    <mergeCell ref="B8:Q8"/>
    <mergeCell ref="C9:Q9"/>
    <mergeCell ref="M19:M20"/>
    <mergeCell ref="N19:N20"/>
    <mergeCell ref="O19:O20"/>
    <mergeCell ref="M21:M22"/>
    <mergeCell ref="M23:M24"/>
  </mergeCells>
  <phoneticPr fontId="3" type="noConversion"/>
  <printOptions horizontalCentered="1" verticalCentered="1"/>
  <pageMargins left="0.39370078740157483" right="0.39370078740157483" top="0.78740157480314965" bottom="0.78740157480314965" header="0.39370078740157483" footer="0.39370078740157483"/>
  <pageSetup paperSize="9" scale="64" orientation="landscape" r:id="rId2"/>
  <headerFooter alignWithMargins="0">
    <oddFooter>&amp;L&amp;"Trebuchet MS,Gras"&amp;12Onglet &amp;A &amp;P / &amp;N&amp;C&amp;"Trebuchet MS,Italique"&amp;12- Ce document est la propriété du groupe SII -&amp;R&amp;"Trebuchet MS,Gras"&amp;12&amp;F</oddFooter>
  </headerFooter>
  <drawing r:id="rId3"/>
  <legacyDrawing r:id="rId4"/>
  <controls>
    <mc:AlternateContent xmlns:mc="http://schemas.openxmlformats.org/markup-compatibility/2006">
      <mc:Choice Requires="x14">
        <control shapeId="26923" r:id="rId5" name="TextBox7">
          <controlPr locked="0" defaultSize="0" autoLine="0" autoPict="0" r:id="rId6">
            <anchor moveWithCells="1" sizeWithCells="1">
              <from>
                <xdr:col>7</xdr:col>
                <xdr:colOff>1150620</xdr:colOff>
                <xdr:row>37</xdr:row>
                <xdr:rowOff>0</xdr:rowOff>
              </from>
              <to>
                <xdr:col>9</xdr:col>
                <xdr:colOff>30480</xdr:colOff>
                <xdr:row>37</xdr:row>
                <xdr:rowOff>0</xdr:rowOff>
              </to>
            </anchor>
          </controlPr>
        </control>
      </mc:Choice>
      <mc:Fallback>
        <control shapeId="26923" r:id="rId5" name="TextBox7"/>
      </mc:Fallback>
    </mc:AlternateContent>
    <mc:AlternateContent xmlns:mc="http://schemas.openxmlformats.org/markup-compatibility/2006">
      <mc:Choice Requires="x14">
        <control shapeId="26922" r:id="rId7" name="TextBox6">
          <controlPr locked="0" defaultSize="0" autoLine="0" autoPict="0" r:id="rId8">
            <anchor moveWithCells="1" sizeWithCells="1">
              <from>
                <xdr:col>6</xdr:col>
                <xdr:colOff>990600</xdr:colOff>
                <xdr:row>37</xdr:row>
                <xdr:rowOff>0</xdr:rowOff>
              </from>
              <to>
                <xdr:col>7</xdr:col>
                <xdr:colOff>1181100</xdr:colOff>
                <xdr:row>37</xdr:row>
                <xdr:rowOff>0</xdr:rowOff>
              </to>
            </anchor>
          </controlPr>
        </control>
      </mc:Choice>
      <mc:Fallback>
        <control shapeId="26922" r:id="rId7" name="TextBox6"/>
      </mc:Fallback>
    </mc:AlternateContent>
    <mc:AlternateContent xmlns:mc="http://schemas.openxmlformats.org/markup-compatibility/2006">
      <mc:Choice Requires="x14">
        <control shapeId="26921" r:id="rId9" name="TextBox5">
          <controlPr locked="0" defaultSize="0" autoLine="0" autoPict="0" r:id="rId10">
            <anchor moveWithCells="1" sizeWithCells="1">
              <from>
                <xdr:col>5</xdr:col>
                <xdr:colOff>297180</xdr:colOff>
                <xdr:row>37</xdr:row>
                <xdr:rowOff>0</xdr:rowOff>
              </from>
              <to>
                <xdr:col>6</xdr:col>
                <xdr:colOff>1028700</xdr:colOff>
                <xdr:row>37</xdr:row>
                <xdr:rowOff>0</xdr:rowOff>
              </to>
            </anchor>
          </controlPr>
        </control>
      </mc:Choice>
      <mc:Fallback>
        <control shapeId="26921" r:id="rId9" name="TextBox5"/>
      </mc:Fallback>
    </mc:AlternateContent>
    <mc:AlternateContent xmlns:mc="http://schemas.openxmlformats.org/markup-compatibility/2006">
      <mc:Choice Requires="x14">
        <control shapeId="26920" r:id="rId11" name="TextBox4">
          <controlPr locked="0" defaultSize="0" autoLine="0" autoPict="0" r:id="rId12">
            <anchor moveWithCells="1" sizeWithCells="1">
              <from>
                <xdr:col>3</xdr:col>
                <xdr:colOff>220980</xdr:colOff>
                <xdr:row>37</xdr:row>
                <xdr:rowOff>0</xdr:rowOff>
              </from>
              <to>
                <xdr:col>4</xdr:col>
                <xdr:colOff>304800</xdr:colOff>
                <xdr:row>37</xdr:row>
                <xdr:rowOff>0</xdr:rowOff>
              </to>
            </anchor>
          </controlPr>
        </control>
      </mc:Choice>
      <mc:Fallback>
        <control shapeId="26920" r:id="rId11" name="TextBox4"/>
      </mc:Fallback>
    </mc:AlternateContent>
    <mc:AlternateContent xmlns:mc="http://schemas.openxmlformats.org/markup-compatibility/2006">
      <mc:Choice Requires="x14">
        <control shapeId="26919" r:id="rId13" name="TextBox3">
          <controlPr locked="0" defaultSize="0" autoLine="0" autoPict="0" r:id="rId14">
            <anchor moveWithCells="1" sizeWithCells="1">
              <from>
                <xdr:col>1</xdr:col>
                <xdr:colOff>1440180</xdr:colOff>
                <xdr:row>37</xdr:row>
                <xdr:rowOff>0</xdr:rowOff>
              </from>
              <to>
                <xdr:col>3</xdr:col>
                <xdr:colOff>220980</xdr:colOff>
                <xdr:row>37</xdr:row>
                <xdr:rowOff>0</xdr:rowOff>
              </to>
            </anchor>
          </controlPr>
        </control>
      </mc:Choice>
      <mc:Fallback>
        <control shapeId="26919" r:id="rId13" name="TextBox3"/>
      </mc:Fallback>
    </mc:AlternateContent>
    <mc:AlternateContent xmlns:mc="http://schemas.openxmlformats.org/markup-compatibility/2006">
      <mc:Choice Requires="x14">
        <control shapeId="26918" r:id="rId15" name="TextBox2">
          <controlPr locked="0" defaultSize="0" autoLine="0" autoPict="0" r:id="rId16">
            <anchor moveWithCells="1" sizeWithCells="1">
              <from>
                <xdr:col>4</xdr:col>
                <xdr:colOff>297180</xdr:colOff>
                <xdr:row>37</xdr:row>
                <xdr:rowOff>0</xdr:rowOff>
              </from>
              <to>
                <xdr:col>5</xdr:col>
                <xdr:colOff>335280</xdr:colOff>
                <xdr:row>37</xdr:row>
                <xdr:rowOff>0</xdr:rowOff>
              </to>
            </anchor>
          </controlPr>
        </control>
      </mc:Choice>
      <mc:Fallback>
        <control shapeId="26918" r:id="rId15" name="TextBox2"/>
      </mc:Fallback>
    </mc:AlternateContent>
    <mc:AlternateContent xmlns:mc="http://schemas.openxmlformats.org/markup-compatibility/2006">
      <mc:Choice Requires="x14">
        <control shapeId="26917" r:id="rId17" name="TextBox1">
          <controlPr locked="0" defaultSize="0" autoLine="0" autoPict="0" r:id="rId18">
            <anchor moveWithCells="1" sizeWithCells="1">
              <from>
                <xdr:col>1</xdr:col>
                <xdr:colOff>45720</xdr:colOff>
                <xdr:row>37</xdr:row>
                <xdr:rowOff>0</xdr:rowOff>
              </from>
              <to>
                <xdr:col>1</xdr:col>
                <xdr:colOff>1341120</xdr:colOff>
                <xdr:row>37</xdr:row>
                <xdr:rowOff>0</xdr:rowOff>
              </to>
            </anchor>
          </controlPr>
        </control>
      </mc:Choice>
      <mc:Fallback>
        <control shapeId="26917" r:id="rId17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3" tint="0.39997558519241921"/>
    <pageSetUpPr fitToPage="1"/>
  </sheetPr>
  <dimension ref="A1:N66"/>
  <sheetViews>
    <sheetView showGridLines="0" zoomScale="80" zoomScaleNormal="80" zoomScaleSheetLayoutView="96" workbookViewId="0">
      <selection activeCell="L16" sqref="L16"/>
    </sheetView>
  </sheetViews>
  <sheetFormatPr baseColWidth="10" defaultColWidth="11.44140625" defaultRowHeight="13.8" x14ac:dyDescent="0.3"/>
  <cols>
    <col min="1" max="1" width="10.88671875" style="30" customWidth="1"/>
    <col min="2" max="2" width="33.33203125" style="30" customWidth="1"/>
    <col min="3" max="3" width="32.33203125" style="34" customWidth="1"/>
    <col min="4" max="4" width="11" style="30" customWidth="1"/>
    <col min="5" max="5" width="44.44140625" style="30" customWidth="1"/>
    <col min="6" max="6" width="20.88671875" style="30" customWidth="1"/>
    <col min="7" max="7" width="29" style="30" customWidth="1"/>
    <col min="8" max="8" width="10.88671875" style="30" customWidth="1"/>
    <col min="9" max="16384" width="11.44140625" style="30"/>
  </cols>
  <sheetData>
    <row r="1" spans="2:14" ht="14.4" thickBot="1" x14ac:dyDescent="0.35"/>
    <row r="2" spans="2:14" s="47" customFormat="1" ht="12.75" customHeight="1" thickTop="1" x14ac:dyDescent="0.3">
      <c r="B2" s="290" t="str">
        <f>TypeDoc</f>
        <v>Fiche de revue de pairs</v>
      </c>
      <c r="C2" s="291"/>
      <c r="D2" s="291"/>
      <c r="E2" s="291"/>
      <c r="F2" s="291"/>
      <c r="G2" s="292"/>
    </row>
    <row r="3" spans="2:14" s="47" customFormat="1" ht="18.75" customHeight="1" x14ac:dyDescent="0.3">
      <c r="B3" s="293"/>
      <c r="C3" s="294"/>
      <c r="D3" s="294"/>
      <c r="E3" s="294"/>
      <c r="F3" s="294"/>
      <c r="G3" s="295"/>
    </row>
    <row r="4" spans="2:14" s="47" customFormat="1" ht="16.5" customHeight="1" x14ac:dyDescent="0.3">
      <c r="B4" s="293"/>
      <c r="C4" s="294"/>
      <c r="D4" s="294"/>
      <c r="E4" s="294"/>
      <c r="F4" s="294"/>
      <c r="G4" s="295"/>
    </row>
    <row r="5" spans="2:14" s="47" customFormat="1" ht="11.25" customHeight="1" x14ac:dyDescent="0.3">
      <c r="B5" s="293"/>
      <c r="C5" s="294"/>
      <c r="D5" s="294"/>
      <c r="E5" s="294"/>
      <c r="F5" s="294"/>
      <c r="G5" s="295"/>
    </row>
    <row r="6" spans="2:14" s="47" customFormat="1" ht="4.5" customHeight="1" x14ac:dyDescent="0.3">
      <c r="B6" s="296"/>
      <c r="C6" s="297"/>
      <c r="D6" s="297"/>
      <c r="E6" s="297"/>
      <c r="F6" s="297"/>
      <c r="G6" s="298"/>
    </row>
    <row r="7" spans="2:14" s="47" customFormat="1" ht="3" customHeight="1" x14ac:dyDescent="0.3">
      <c r="B7" s="175"/>
      <c r="C7" s="299"/>
      <c r="D7" s="299"/>
      <c r="E7" s="299"/>
      <c r="F7" s="299"/>
      <c r="G7" s="300"/>
    </row>
    <row r="8" spans="2:14" s="47" customFormat="1" ht="24" customHeight="1" x14ac:dyDescent="0.3">
      <c r="B8" s="301" t="s">
        <v>56</v>
      </c>
      <c r="C8" s="302"/>
      <c r="D8" s="302"/>
      <c r="E8" s="302"/>
      <c r="F8" s="302"/>
      <c r="G8" s="303"/>
    </row>
    <row r="9" spans="2:14" s="47" customFormat="1" ht="4.5" customHeight="1" x14ac:dyDescent="0.3">
      <c r="B9" s="304"/>
      <c r="C9" s="305"/>
      <c r="D9" s="305"/>
      <c r="E9" s="305"/>
      <c r="F9" s="305"/>
      <c r="G9" s="306"/>
    </row>
    <row r="10" spans="2:14" s="47" customFormat="1" ht="18" customHeight="1" x14ac:dyDescent="0.3">
      <c r="B10" s="274" t="s">
        <v>44</v>
      </c>
      <c r="C10" s="275"/>
      <c r="D10" s="275"/>
      <c r="E10" s="286" t="s">
        <v>64</v>
      </c>
      <c r="F10" s="286"/>
      <c r="G10" s="287"/>
    </row>
    <row r="11" spans="2:14" s="47" customFormat="1" ht="20.25" customHeight="1" x14ac:dyDescent="0.3">
      <c r="B11" s="274" t="s">
        <v>36</v>
      </c>
      <c r="C11" s="275"/>
      <c r="D11" s="275"/>
      <c r="E11" s="286" t="s">
        <v>63</v>
      </c>
      <c r="F11" s="286"/>
      <c r="G11" s="287"/>
    </row>
    <row r="12" spans="2:14" s="47" customFormat="1" ht="20.25" customHeight="1" x14ac:dyDescent="0.3">
      <c r="B12" s="274" t="s">
        <v>11</v>
      </c>
      <c r="C12" s="275"/>
      <c r="D12" s="275"/>
      <c r="E12" s="286" t="s">
        <v>65</v>
      </c>
      <c r="F12" s="286"/>
      <c r="G12" s="287"/>
    </row>
    <row r="13" spans="2:14" s="47" customFormat="1" ht="20.25" customHeight="1" x14ac:dyDescent="0.3">
      <c r="B13" s="274" t="s">
        <v>7</v>
      </c>
      <c r="C13" s="275"/>
      <c r="D13" s="275"/>
      <c r="E13" s="286" t="s">
        <v>29</v>
      </c>
      <c r="F13" s="286"/>
      <c r="G13" s="287"/>
    </row>
    <row r="14" spans="2:14" s="47" customFormat="1" ht="20.25" customHeight="1" x14ac:dyDescent="0.3">
      <c r="B14" s="274" t="s">
        <v>24</v>
      </c>
      <c r="C14" s="275"/>
      <c r="D14" s="275"/>
      <c r="E14" s="286" t="s">
        <v>66</v>
      </c>
      <c r="F14" s="286"/>
      <c r="G14" s="287"/>
    </row>
    <row r="15" spans="2:14" s="47" customFormat="1" ht="20.25" customHeight="1" x14ac:dyDescent="0.3">
      <c r="B15" s="274" t="s">
        <v>37</v>
      </c>
      <c r="C15" s="275"/>
      <c r="D15" s="275"/>
      <c r="E15" s="288">
        <v>44981</v>
      </c>
      <c r="F15" s="288"/>
      <c r="G15" s="289"/>
      <c r="J15" s="35"/>
      <c r="K15" s="35"/>
      <c r="L15" s="36"/>
      <c r="M15" s="35"/>
      <c r="N15" s="37"/>
    </row>
    <row r="16" spans="2:14" s="47" customFormat="1" ht="20.25" customHeight="1" x14ac:dyDescent="0.3">
      <c r="B16" s="274" t="s">
        <v>51</v>
      </c>
      <c r="C16" s="275"/>
      <c r="D16" s="275"/>
      <c r="E16" s="282" t="s">
        <v>52</v>
      </c>
      <c r="F16" s="282"/>
      <c r="G16" s="283"/>
      <c r="J16" s="35"/>
      <c r="K16" s="35"/>
      <c r="L16" s="36"/>
      <c r="M16" s="35"/>
      <c r="N16" s="37"/>
    </row>
    <row r="17" spans="1:9" s="47" customFormat="1" ht="20.25" customHeight="1" x14ac:dyDescent="0.3">
      <c r="B17" s="274" t="s">
        <v>12</v>
      </c>
      <c r="C17" s="275"/>
      <c r="D17" s="275"/>
      <c r="E17" s="284" t="str">
        <f ca="1">MID(CELL("nomfichier",A1),(FIND("[",CELL("nomfichier",A1))+1),(FIND("]",CELL("nomfichier",A1))-FIND("[",CELL("nomfichier",A1))-1))</f>
        <v>D3-0335-03_Revue_de_pairs_vierge_ok.xlsm</v>
      </c>
      <c r="F17" s="284"/>
      <c r="G17" s="285"/>
    </row>
    <row r="18" spans="1:9" s="47" customFormat="1" ht="20.25" customHeight="1" x14ac:dyDescent="0.3">
      <c r="B18" s="274" t="s">
        <v>13</v>
      </c>
      <c r="C18" s="275"/>
      <c r="D18" s="275"/>
      <c r="E18" s="284" t="str">
        <f ca="1">MID(CELL("nomfichier",A1),1,FIND("[",CELL("nomfichier",A1))-1)</f>
        <v>R:\DO\DELIVERY\01_Processus\00-WIP\05 - Mise à jour Revue de pairs\</v>
      </c>
      <c r="F18" s="284"/>
      <c r="G18" s="285"/>
    </row>
    <row r="19" spans="1:9" s="47" customFormat="1" ht="20.25" customHeight="1" x14ac:dyDescent="0.3">
      <c r="B19" s="274" t="s">
        <v>8</v>
      </c>
      <c r="C19" s="275"/>
      <c r="D19" s="275"/>
      <c r="E19" s="286" t="s">
        <v>229</v>
      </c>
      <c r="F19" s="286"/>
      <c r="G19" s="287"/>
    </row>
    <row r="20" spans="1:9" s="47" customFormat="1" ht="20.25" customHeight="1" x14ac:dyDescent="0.3">
      <c r="B20" s="274" t="s">
        <v>9</v>
      </c>
      <c r="C20" s="275"/>
      <c r="D20" s="275"/>
      <c r="E20" s="286" t="s">
        <v>230</v>
      </c>
      <c r="F20" s="286"/>
      <c r="G20" s="287"/>
    </row>
    <row r="21" spans="1:9" s="47" customFormat="1" ht="20.25" customHeight="1" x14ac:dyDescent="0.3">
      <c r="B21" s="274" t="s">
        <v>58</v>
      </c>
      <c r="C21" s="275"/>
      <c r="D21" s="275"/>
      <c r="E21" s="286" t="s">
        <v>231</v>
      </c>
      <c r="F21" s="286"/>
      <c r="G21" s="287"/>
    </row>
    <row r="22" spans="1:9" s="47" customFormat="1" ht="20.25" customHeight="1" x14ac:dyDescent="0.3">
      <c r="B22" s="274" t="s">
        <v>15</v>
      </c>
      <c r="C22" s="275"/>
      <c r="D22" s="275"/>
      <c r="E22" s="286" t="s">
        <v>232</v>
      </c>
      <c r="F22" s="327"/>
      <c r="G22" s="328"/>
    </row>
    <row r="23" spans="1:9" s="47" customFormat="1" ht="20.25" customHeight="1" x14ac:dyDescent="0.3">
      <c r="B23" s="274" t="s">
        <v>10</v>
      </c>
      <c r="C23" s="275"/>
      <c r="D23" s="275"/>
      <c r="E23" s="59" t="s">
        <v>233</v>
      </c>
      <c r="F23" s="59"/>
      <c r="G23" s="60"/>
    </row>
    <row r="24" spans="1:9" s="47" customFormat="1" ht="20.25" customHeight="1" x14ac:dyDescent="0.3">
      <c r="A24" s="125"/>
      <c r="B24" s="274" t="s">
        <v>14</v>
      </c>
      <c r="C24" s="275"/>
      <c r="D24" s="275"/>
      <c r="E24" s="61" t="s">
        <v>234</v>
      </c>
      <c r="F24" s="74" t="s">
        <v>25</v>
      </c>
      <c r="G24" s="62" t="s">
        <v>237</v>
      </c>
    </row>
    <row r="25" spans="1:9" s="47" customFormat="1" ht="20.25" customHeight="1" x14ac:dyDescent="0.3">
      <c r="A25" s="125"/>
      <c r="B25" s="274" t="s">
        <v>98</v>
      </c>
      <c r="C25" s="275"/>
      <c r="D25" s="275"/>
      <c r="E25" s="61" t="s">
        <v>235</v>
      </c>
      <c r="F25" s="74" t="s">
        <v>26</v>
      </c>
      <c r="G25" s="62" t="s">
        <v>238</v>
      </c>
    </row>
    <row r="26" spans="1:9" s="47" customFormat="1" ht="20.25" customHeight="1" x14ac:dyDescent="0.3">
      <c r="A26" s="125"/>
      <c r="B26" s="274" t="s">
        <v>27</v>
      </c>
      <c r="C26" s="275"/>
      <c r="D26" s="275"/>
      <c r="E26" s="61" t="s">
        <v>236</v>
      </c>
      <c r="F26" s="74" t="s">
        <v>28</v>
      </c>
      <c r="G26" s="62" t="s">
        <v>239</v>
      </c>
    </row>
    <row r="27" spans="1:9" s="47" customFormat="1" ht="4.5" customHeight="1" x14ac:dyDescent="0.3">
      <c r="B27" s="296"/>
      <c r="C27" s="297"/>
      <c r="D27" s="297"/>
      <c r="E27" s="297"/>
      <c r="F27" s="297"/>
      <c r="G27" s="298"/>
    </row>
    <row r="28" spans="1:9" s="47" customFormat="1" ht="3" customHeight="1" thickBot="1" x14ac:dyDescent="0.35">
      <c r="B28" s="175"/>
      <c r="C28" s="332"/>
      <c r="D28" s="332"/>
      <c r="E28" s="332"/>
      <c r="F28" s="332"/>
      <c r="G28" s="208"/>
      <c r="H28" s="212"/>
      <c r="I28" s="212"/>
    </row>
    <row r="29" spans="1:9" s="47" customFormat="1" ht="24" hidden="1" customHeight="1" thickTop="1" thickBot="1" x14ac:dyDescent="0.35">
      <c r="B29" s="280" t="s">
        <v>57</v>
      </c>
      <c r="C29" s="281"/>
      <c r="D29" s="281"/>
      <c r="E29" s="281"/>
      <c r="F29" s="281"/>
      <c r="G29" s="329"/>
      <c r="H29" s="210"/>
      <c r="I29" s="210"/>
    </row>
    <row r="30" spans="1:9" s="47" customFormat="1" ht="4.5" hidden="1" customHeight="1" thickTop="1" x14ac:dyDescent="0.3">
      <c r="B30" s="276"/>
      <c r="C30" s="277"/>
      <c r="D30" s="277"/>
      <c r="E30" s="277"/>
      <c r="F30" s="277"/>
      <c r="G30" s="209"/>
      <c r="H30" s="210"/>
      <c r="I30" s="210"/>
    </row>
    <row r="31" spans="1:9" s="47" customFormat="1" ht="20.25" hidden="1" customHeight="1" x14ac:dyDescent="0.3">
      <c r="B31" s="278" t="s">
        <v>33</v>
      </c>
      <c r="C31" s="279"/>
      <c r="D31" s="279"/>
      <c r="E31" s="326"/>
      <c r="F31" s="326"/>
      <c r="G31" s="326"/>
      <c r="H31" s="210"/>
      <c r="I31" s="210"/>
    </row>
    <row r="32" spans="1:9" s="47" customFormat="1" ht="20.25" hidden="1" customHeight="1" x14ac:dyDescent="0.3">
      <c r="B32" s="330" t="s">
        <v>34</v>
      </c>
      <c r="C32" s="331"/>
      <c r="D32" s="331"/>
      <c r="E32" s="326"/>
      <c r="F32" s="326"/>
      <c r="G32" s="326"/>
      <c r="H32" s="210"/>
      <c r="I32" s="210"/>
    </row>
    <row r="33" spans="2:9" s="47" customFormat="1" ht="20.25" hidden="1" customHeight="1" x14ac:dyDescent="0.3">
      <c r="B33" s="330" t="s">
        <v>35</v>
      </c>
      <c r="C33" s="331"/>
      <c r="D33" s="331"/>
      <c r="E33" s="326"/>
      <c r="F33" s="326"/>
      <c r="G33" s="326"/>
      <c r="H33" s="210"/>
      <c r="I33" s="210"/>
    </row>
    <row r="34" spans="2:9" s="47" customFormat="1" ht="4.5" hidden="1" customHeight="1" thickBot="1" x14ac:dyDescent="0.35">
      <c r="B34" s="313"/>
      <c r="C34" s="314"/>
      <c r="D34" s="314"/>
      <c r="E34" s="314"/>
      <c r="F34" s="314"/>
      <c r="G34" s="209"/>
      <c r="H34" s="210"/>
      <c r="I34" s="210"/>
    </row>
    <row r="35" spans="2:9" s="47" customFormat="1" ht="24" hidden="1" customHeight="1" thickTop="1" thickBot="1" x14ac:dyDescent="0.35">
      <c r="B35" s="280" t="s">
        <v>86</v>
      </c>
      <c r="C35" s="281"/>
      <c r="D35" s="281"/>
      <c r="E35" s="281"/>
      <c r="F35" s="281"/>
      <c r="G35" s="281"/>
      <c r="H35" s="210"/>
      <c r="I35" s="210"/>
    </row>
    <row r="36" spans="2:9" s="47" customFormat="1" ht="4.5" hidden="1" customHeight="1" thickTop="1" thickBot="1" x14ac:dyDescent="0.35">
      <c r="B36" s="315"/>
      <c r="C36" s="316"/>
      <c r="D36" s="316"/>
      <c r="E36" s="316"/>
      <c r="F36" s="316"/>
      <c r="G36" s="210"/>
      <c r="H36" s="210"/>
      <c r="I36" s="210"/>
    </row>
    <row r="37" spans="2:9" s="47" customFormat="1" ht="20.25" hidden="1" customHeight="1" thickTop="1" thickBot="1" x14ac:dyDescent="0.35">
      <c r="B37" s="68" t="s">
        <v>43</v>
      </c>
      <c r="C37" s="69" t="s">
        <v>16</v>
      </c>
      <c r="D37" s="317" t="s">
        <v>1</v>
      </c>
      <c r="E37" s="318"/>
      <c r="F37" s="318"/>
      <c r="G37" s="211"/>
      <c r="H37" s="210"/>
      <c r="I37" s="210"/>
    </row>
    <row r="38" spans="2:9" s="47" customFormat="1" ht="15" hidden="1" thickTop="1" thickBot="1" x14ac:dyDescent="0.35">
      <c r="B38" s="92" t="s">
        <v>61</v>
      </c>
      <c r="C38" s="63" t="s">
        <v>17</v>
      </c>
      <c r="D38" s="311" t="s">
        <v>6</v>
      </c>
      <c r="E38" s="311"/>
      <c r="F38" s="311"/>
      <c r="G38" s="312"/>
      <c r="H38" s="210"/>
      <c r="I38" s="210"/>
    </row>
    <row r="39" spans="2:9" s="47" customFormat="1" ht="15" hidden="1" thickTop="1" thickBot="1" x14ac:dyDescent="0.35">
      <c r="B39" s="93"/>
      <c r="C39" s="64"/>
      <c r="D39" s="309"/>
      <c r="E39" s="309"/>
      <c r="F39" s="309"/>
      <c r="G39" s="310"/>
      <c r="H39" s="210"/>
      <c r="I39" s="210"/>
    </row>
    <row r="40" spans="2:9" s="47" customFormat="1" ht="15" hidden="1" thickTop="1" thickBot="1" x14ac:dyDescent="0.35">
      <c r="B40" s="93" t="s">
        <v>60</v>
      </c>
      <c r="C40" s="64" t="s">
        <v>17</v>
      </c>
      <c r="D40" s="309"/>
      <c r="E40" s="309"/>
      <c r="F40" s="309"/>
      <c r="G40" s="310"/>
      <c r="H40" s="210"/>
      <c r="I40" s="210"/>
    </row>
    <row r="41" spans="2:9" s="47" customFormat="1" ht="15" hidden="1" thickTop="1" thickBot="1" x14ac:dyDescent="0.35">
      <c r="B41" s="93"/>
      <c r="C41" s="64"/>
      <c r="D41" s="309"/>
      <c r="E41" s="309"/>
      <c r="F41" s="309"/>
      <c r="G41" s="310"/>
      <c r="H41" s="210"/>
      <c r="I41" s="210"/>
    </row>
    <row r="42" spans="2:9" ht="15" hidden="1" thickTop="1" thickBot="1" x14ac:dyDescent="0.35">
      <c r="B42" s="94"/>
      <c r="C42" s="65"/>
      <c r="D42" s="320"/>
      <c r="E42" s="320"/>
      <c r="F42" s="320"/>
      <c r="G42" s="321"/>
      <c r="H42" s="213"/>
      <c r="I42" s="213"/>
    </row>
    <row r="43" spans="2:9" s="47" customFormat="1" ht="4.5" customHeight="1" thickTop="1" thickBot="1" x14ac:dyDescent="0.35">
      <c r="B43" s="324"/>
      <c r="C43" s="325"/>
      <c r="D43" s="325"/>
      <c r="E43" s="325"/>
      <c r="F43" s="325"/>
      <c r="G43" s="209"/>
      <c r="H43" s="210"/>
      <c r="I43" s="210"/>
    </row>
    <row r="44" spans="2:9" s="47" customFormat="1" ht="24" customHeight="1" thickTop="1" thickBot="1" x14ac:dyDescent="0.35">
      <c r="B44" s="280" t="s">
        <v>38</v>
      </c>
      <c r="C44" s="281"/>
      <c r="D44" s="281"/>
      <c r="E44" s="281"/>
      <c r="F44" s="281"/>
      <c r="G44" s="319"/>
    </row>
    <row r="45" spans="2:9" s="47" customFormat="1" ht="4.5" customHeight="1" thickTop="1" thickBot="1" x14ac:dyDescent="0.35">
      <c r="B45" s="322"/>
      <c r="C45" s="323"/>
      <c r="D45" s="323"/>
      <c r="E45" s="323"/>
      <c r="F45" s="323"/>
      <c r="G45" s="54"/>
    </row>
    <row r="46" spans="2:9" s="47" customFormat="1" ht="46.2" customHeight="1" thickTop="1" thickBot="1" x14ac:dyDescent="0.35">
      <c r="B46" s="70"/>
      <c r="C46" s="71" t="s">
        <v>0</v>
      </c>
      <c r="D46" s="106" t="s">
        <v>79</v>
      </c>
      <c r="E46" s="106" t="s">
        <v>62</v>
      </c>
      <c r="F46" s="214" t="s">
        <v>228</v>
      </c>
      <c r="G46" s="106" t="s">
        <v>220</v>
      </c>
    </row>
    <row r="47" spans="2:9" s="47" customFormat="1" ht="14.4" thickTop="1" x14ac:dyDescent="0.3">
      <c r="B47" s="177" t="s">
        <v>39</v>
      </c>
      <c r="C47" s="167" t="str">
        <f>DateRedaction</f>
        <v>&lt;Date Rédaction&gt;</v>
      </c>
      <c r="D47" s="107" t="s">
        <v>253</v>
      </c>
      <c r="E47" s="107" t="str">
        <f>redacteur</f>
        <v>&lt;Nom du Rédacteur&gt;</v>
      </c>
      <c r="F47" s="161">
        <f>SUMIF('Fiche de relecture de pairs'!I24:I494,PARAMETRES!D47,'Fiche de relecture de pairs'!L24:L494)</f>
        <v>0</v>
      </c>
      <c r="G47" s="66"/>
    </row>
    <row r="48" spans="2:9" s="47" customFormat="1" x14ac:dyDescent="0.3">
      <c r="B48" s="172" t="s">
        <v>40</v>
      </c>
      <c r="C48" s="168" t="str">
        <f>DateVerification</f>
        <v>&lt;Date Vérification&gt;</v>
      </c>
      <c r="D48" s="108" t="s">
        <v>253</v>
      </c>
      <c r="E48" s="108" t="str">
        <f>verificateur</f>
        <v>&lt;Nom du Vérificateur&gt;</v>
      </c>
      <c r="F48" s="161">
        <f>SUMIF('Fiche de relecture de pairs'!I17:I487,PARAMETRES!D48,'Fiche de relecture de pairs'!L17:L487)</f>
        <v>0</v>
      </c>
      <c r="G48" s="67" t="s">
        <v>222</v>
      </c>
    </row>
    <row r="49" spans="2:7" ht="14.4" thickBot="1" x14ac:dyDescent="0.35">
      <c r="B49" s="176" t="s">
        <v>41</v>
      </c>
      <c r="C49" s="169" t="str">
        <f>DateApprobation</f>
        <v>&lt;Date Approbation&gt;</v>
      </c>
      <c r="D49" s="109" t="s">
        <v>253</v>
      </c>
      <c r="E49" s="109" t="str">
        <f>Approbateur</f>
        <v>&lt;Nom de l'Approbateur&gt;</v>
      </c>
      <c r="F49" s="162">
        <f>SUMIF('Fiche de relecture de pairs'!I26:I496,PARAMETRES!#REF!,'Fiche de relecture de pairs'!L26:L496)</f>
        <v>0</v>
      </c>
      <c r="G49" s="110"/>
    </row>
    <row r="50" spans="2:7" ht="15" thickTop="1" thickBot="1" x14ac:dyDescent="0.35">
      <c r="B50" s="55"/>
      <c r="C50" s="56"/>
      <c r="D50" s="55"/>
      <c r="E50" s="55"/>
      <c r="F50" s="55"/>
      <c r="G50" s="55"/>
    </row>
    <row r="51" spans="2:7" ht="16.2" thickTop="1" thickBot="1" x14ac:dyDescent="0.35">
      <c r="B51" s="280" t="s">
        <v>55</v>
      </c>
      <c r="C51" s="281"/>
      <c r="D51" s="281"/>
      <c r="E51" s="281"/>
      <c r="F51" s="281"/>
      <c r="G51" s="319"/>
    </row>
    <row r="52" spans="2:7" ht="6.6" customHeight="1" thickTop="1" thickBot="1" x14ac:dyDescent="0.35">
      <c r="B52" s="307"/>
      <c r="C52" s="308"/>
      <c r="D52" s="308"/>
      <c r="E52" s="308"/>
      <c r="F52" s="308"/>
      <c r="G52" s="72"/>
    </row>
    <row r="53" spans="2:7" ht="15" thickTop="1" thickBot="1" x14ac:dyDescent="0.35">
      <c r="B53" s="173" t="s">
        <v>53</v>
      </c>
      <c r="C53" s="73" t="s">
        <v>54</v>
      </c>
      <c r="D53" s="334" t="s">
        <v>62</v>
      </c>
      <c r="E53" s="335"/>
      <c r="F53" s="335"/>
      <c r="G53" s="336"/>
    </row>
    <row r="54" spans="2:7" ht="15" thickTop="1" thickBot="1" x14ac:dyDescent="0.35">
      <c r="B54" s="174"/>
      <c r="C54" s="57"/>
      <c r="D54" s="333"/>
      <c r="E54" s="333"/>
      <c r="F54" s="333"/>
      <c r="G54" s="333"/>
    </row>
    <row r="55" spans="2:7" ht="15" thickTop="1" thickBot="1" x14ac:dyDescent="0.35">
      <c r="B55" s="174"/>
      <c r="C55" s="57"/>
      <c r="D55" s="333"/>
      <c r="E55" s="333"/>
      <c r="F55" s="333"/>
      <c r="G55" s="333"/>
    </row>
    <row r="56" spans="2:7" ht="15" thickTop="1" thickBot="1" x14ac:dyDescent="0.35">
      <c r="B56" s="174"/>
      <c r="C56" s="57"/>
      <c r="D56" s="333"/>
      <c r="E56" s="333"/>
      <c r="F56" s="333"/>
      <c r="G56" s="333"/>
    </row>
    <row r="57" spans="2:7" ht="15" thickTop="1" thickBot="1" x14ac:dyDescent="0.35">
      <c r="B57" s="174"/>
      <c r="C57" s="58"/>
      <c r="D57" s="333"/>
      <c r="E57" s="333"/>
      <c r="F57" s="333"/>
      <c r="G57" s="333"/>
    </row>
    <row r="58" spans="2:7" ht="15" thickTop="1" thickBot="1" x14ac:dyDescent="0.35"/>
    <row r="59" spans="2:7" ht="16.2" thickTop="1" thickBot="1" x14ac:dyDescent="0.35">
      <c r="B59" s="280" t="s">
        <v>111</v>
      </c>
      <c r="C59" s="281"/>
      <c r="D59" s="281"/>
      <c r="E59" s="281"/>
      <c r="F59" s="281"/>
      <c r="G59" s="319"/>
    </row>
    <row r="60" spans="2:7" ht="15" thickTop="1" thickBot="1" x14ac:dyDescent="0.35">
      <c r="B60" s="307"/>
      <c r="C60" s="308"/>
      <c r="D60" s="308"/>
      <c r="E60" s="308"/>
      <c r="F60" s="308"/>
      <c r="G60" s="72"/>
    </row>
    <row r="61" spans="2:7" ht="15" thickTop="1" thickBot="1" x14ac:dyDescent="0.35">
      <c r="B61" s="173" t="s">
        <v>109</v>
      </c>
      <c r="C61" s="73" t="s">
        <v>108</v>
      </c>
      <c r="D61" s="334" t="s">
        <v>110</v>
      </c>
      <c r="E61" s="335"/>
      <c r="F61" s="335"/>
      <c r="G61" s="336"/>
    </row>
    <row r="62" spans="2:7" ht="15.6" thickTop="1" thickBot="1" x14ac:dyDescent="0.35">
      <c r="B62" s="170"/>
      <c r="C62" s="57"/>
      <c r="D62" s="333"/>
      <c r="E62" s="333"/>
      <c r="F62" s="333"/>
      <c r="G62" s="333"/>
    </row>
    <row r="63" spans="2:7" ht="15.6" thickTop="1" thickBot="1" x14ac:dyDescent="0.35">
      <c r="B63" s="170"/>
      <c r="C63" s="57"/>
      <c r="D63" s="333"/>
      <c r="E63" s="333"/>
      <c r="F63" s="333"/>
      <c r="G63" s="333"/>
    </row>
    <row r="64" spans="2:7" ht="15.6" thickTop="1" thickBot="1" x14ac:dyDescent="0.35">
      <c r="B64" s="170"/>
      <c r="C64" s="57"/>
      <c r="D64" s="333"/>
      <c r="E64" s="333"/>
      <c r="F64" s="333"/>
      <c r="G64" s="333"/>
    </row>
    <row r="65" spans="2:7" ht="15.6" thickTop="1" thickBot="1" x14ac:dyDescent="0.35">
      <c r="B65" s="170"/>
      <c r="C65" s="58"/>
      <c r="D65" s="333"/>
      <c r="E65" s="333"/>
      <c r="F65" s="333"/>
      <c r="G65" s="333"/>
    </row>
    <row r="66" spans="2:7" ht="14.4" thickTop="1" x14ac:dyDescent="0.3"/>
  </sheetData>
  <customSheetViews>
    <customSheetView guid="{352E0FD3-3DC0-4799-BF18-7F7B8D094994}" scale="90" showGridLines="0" fitToPage="1" printArea="1" hiddenRows="1" topLeftCell="A11">
      <selection activeCell="H46" sqref="H46"/>
      <pageMargins left="0.39370078740157483" right="0.39370078740157483" top="0.78740157480314965" bottom="0.78740157480314965" header="0.39370078740157483" footer="0.39370078740157483"/>
      <printOptions horizontalCentered="1" verticalCentered="1"/>
      <pageSetup paperSize="9" scale="58" orientation="portrait" r:id="rId1"/>
      <headerFooter alignWithMargins="0">
        <oddFooter>&amp;L&amp;"Trebuchet MS,Gras"&amp;12Onglet &amp;A &amp;P / &amp;N&amp;C&amp;"Trebuchet MS,Italique"&amp;12- Ce document est la propriété du groupe SII -&amp;R&amp;"Trebuchet MS,Gras"&amp;12&amp;F</oddFooter>
      </headerFooter>
    </customSheetView>
  </customSheetViews>
  <mergeCells count="71">
    <mergeCell ref="D53:G53"/>
    <mergeCell ref="D54:G54"/>
    <mergeCell ref="D55:G55"/>
    <mergeCell ref="D56:G56"/>
    <mergeCell ref="D57:G57"/>
    <mergeCell ref="D63:G63"/>
    <mergeCell ref="D64:G64"/>
    <mergeCell ref="D65:G65"/>
    <mergeCell ref="B59:G59"/>
    <mergeCell ref="B60:F60"/>
    <mergeCell ref="D61:G61"/>
    <mergeCell ref="D62:G62"/>
    <mergeCell ref="B20:D20"/>
    <mergeCell ref="E31:G31"/>
    <mergeCell ref="E32:G32"/>
    <mergeCell ref="E33:G33"/>
    <mergeCell ref="E22:G22"/>
    <mergeCell ref="E21:G21"/>
    <mergeCell ref="B23:D23"/>
    <mergeCell ref="B22:D22"/>
    <mergeCell ref="B21:D21"/>
    <mergeCell ref="E20:G20"/>
    <mergeCell ref="B29:G29"/>
    <mergeCell ref="B24:D24"/>
    <mergeCell ref="B33:D33"/>
    <mergeCell ref="B32:D32"/>
    <mergeCell ref="C28:F28"/>
    <mergeCell ref="B27:G27"/>
    <mergeCell ref="B52:F52"/>
    <mergeCell ref="D41:G41"/>
    <mergeCell ref="D38:G38"/>
    <mergeCell ref="D39:G39"/>
    <mergeCell ref="B34:F34"/>
    <mergeCell ref="B36:F36"/>
    <mergeCell ref="D37:F37"/>
    <mergeCell ref="B44:G44"/>
    <mergeCell ref="B51:G51"/>
    <mergeCell ref="D42:G42"/>
    <mergeCell ref="B45:F45"/>
    <mergeCell ref="B43:F43"/>
    <mergeCell ref="D40:G40"/>
    <mergeCell ref="B2:G5"/>
    <mergeCell ref="B6:G6"/>
    <mergeCell ref="C7:G7"/>
    <mergeCell ref="B8:G8"/>
    <mergeCell ref="B9:G9"/>
    <mergeCell ref="B11:D11"/>
    <mergeCell ref="E11:G11"/>
    <mergeCell ref="B12:D12"/>
    <mergeCell ref="E12:G12"/>
    <mergeCell ref="B10:D10"/>
    <mergeCell ref="E10:G10"/>
    <mergeCell ref="B14:D14"/>
    <mergeCell ref="B13:D13"/>
    <mergeCell ref="E14:G14"/>
    <mergeCell ref="B17:D17"/>
    <mergeCell ref="E13:G13"/>
    <mergeCell ref="E15:G15"/>
    <mergeCell ref="B15:D15"/>
    <mergeCell ref="B19:D19"/>
    <mergeCell ref="B16:D16"/>
    <mergeCell ref="E16:G16"/>
    <mergeCell ref="E17:G17"/>
    <mergeCell ref="B18:D18"/>
    <mergeCell ref="E18:G18"/>
    <mergeCell ref="E19:G19"/>
    <mergeCell ref="B26:D26"/>
    <mergeCell ref="B25:D25"/>
    <mergeCell ref="B30:F30"/>
    <mergeCell ref="B31:D31"/>
    <mergeCell ref="B35:G35"/>
  </mergeCells>
  <conditionalFormatting sqref="E16:G16">
    <cfRule type="cellIs" dxfId="5" priority="1" operator="equal">
      <formula>"Secret SII"</formula>
    </cfRule>
    <cfRule type="cellIs" dxfId="4" priority="2" operator="equal">
      <formula>"Confidentiel SII"</formula>
    </cfRule>
  </conditionalFormatting>
  <dataValidations xWindow="229" yWindow="391" count="12">
    <dataValidation type="list" allowBlank="1" showInputMessage="1" showErrorMessage="1" sqref="E12:G12">
      <formula1>"Aix en Provence,Bordeaux,Lille,Lyon,Nantes,Siège,Ile de France, Rennes,Sophia Antipolis,Strasbourg,Toulouse"</formula1>
    </dataValidation>
    <dataValidation type="list" allowBlank="1" showInputMessage="1" showErrorMessage="1" sqref="E16:G16">
      <formula1>"Public SII,Usage interne SII,Confidentiel SII,Secret SII"</formula1>
    </dataValidation>
    <dataValidation allowBlank="1" showInputMessage="1" showErrorMessage="1" promptTitle="Référence SII provenant du DGD :" prompt="TTTT      = Sigle du type de document (PM, CRR, FR)_x000a_PPPP    = N° IFS du projet_x000a_XX           = Emetteur et type d'activité (D9, S4 …)_x000a_NNNN    = N° Chrono_x000a_0y             = N° Version_x000a_0z             = N° Révision" sqref="E13:G13"/>
    <dataValidation allowBlank="1" showInputMessage="1" showErrorMessage="1" promptTitle="Rédacteur/Auteur" prompt="Auteur de la fiche de revue de pairs qui est aussi l'auteur du document relu (pair 0)" sqref="E24"/>
    <dataValidation allowBlank="1" showInputMessage="1" showErrorMessage="1" promptTitle="Validateur/relecteur" prompt="Personne(s) qui va porter un regard critique : pair 1, CdP, TL, Expert, utilisateur etc." sqref="E25"/>
    <dataValidation allowBlank="1" showInputMessage="1" showErrorMessage="1" promptTitle="Approbateur" prompt="L'approbateur est celui qui valide en dernier lieu l'élément concerné" sqref="E26"/>
    <dataValidation allowBlank="1" showInputMessage="1" showErrorMessage="1" promptTitle="Version" prompt="Ce paramètre doit être cohérent avec le paramètre 0y de la référence fichier Sii" sqref="E22:G22"/>
    <dataValidation allowBlank="1" showInputMessage="1" showErrorMessage="1" prompt="Indique le code documentaire du formulaire" sqref="E10:G10"/>
    <dataValidation allowBlank="1" showInputMessage="1" showErrorMessage="1" promptTitle="Rédacteur :" prompt="Auteur de la fiche de revue de pairs qui est aussi l'auteur du docuement relu (pair 0)." sqref="B24:D24"/>
    <dataValidation allowBlank="1" showInputMessage="1" showErrorMessage="1" promptTitle="Vérificateur :" prompt="Personne(s) qui va porter un regard critique : pair 1, CdP, TL, expert, utilisateur etc" sqref="B25:D25"/>
    <dataValidation allowBlank="1" showInputMessage="1" showErrorMessage="1" promptTitle="Approbateur :" prompt="L'approbateur est celui qui valide en dernier lieu l'élément concerné. " sqref="B26:D26"/>
    <dataValidation allowBlank="1" showInputMessage="1" showErrorMessage="1" promptTitle="Nom du document :" prompt="Ce document peut être :_x000a_- Une checklist spécifique _x000a_- Une spec _x000a_- Une procédure _x000a_- ou tout autre document applicable" sqref="B62:B65"/>
  </dataValidations>
  <printOptions horizontalCentered="1" verticalCentered="1"/>
  <pageMargins left="0.39370078740157483" right="0.39370078740157483" top="0.78740157480314965" bottom="0.78740157480314965" header="0.39370078740157483" footer="0.39370078740157483"/>
  <pageSetup paperSize="9" scale="53" orientation="portrait" r:id="rId2"/>
  <headerFooter alignWithMargins="0">
    <oddFooter>&amp;L&amp;"Trebuchet MS,Gras"&amp;12Onglet &amp;A &amp;P / &amp;N&amp;C&amp;"Trebuchet MS,Italique"&amp;12- Ce document est la propriété du groupe SII -&amp;R&amp;"Trebuchet MS,Gras"&amp;12&amp;F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O20"/>
  <sheetViews>
    <sheetView showGridLines="0" zoomScaleNormal="100" workbookViewId="0">
      <selection activeCell="C20" sqref="C20"/>
    </sheetView>
  </sheetViews>
  <sheetFormatPr baseColWidth="10" defaultColWidth="11.44140625" defaultRowHeight="14.4" x14ac:dyDescent="0.35"/>
  <cols>
    <col min="1" max="1" width="1.88671875" style="24" customWidth="1"/>
    <col min="2" max="2" width="36.6640625" style="24" customWidth="1"/>
    <col min="3" max="3" width="29.44140625" style="24" customWidth="1"/>
    <col min="4" max="4" width="30.88671875" style="24" customWidth="1"/>
    <col min="5" max="5" width="36.33203125" style="24" customWidth="1"/>
    <col min="6" max="6" width="23.5546875" style="24" customWidth="1"/>
    <col min="7" max="7" width="27.44140625" style="24" bestFit="1" customWidth="1"/>
    <col min="8" max="8" width="1.88671875" style="24" customWidth="1"/>
    <col min="9" max="9" width="19.5546875" style="24" customWidth="1"/>
    <col min="10" max="11" width="17.88671875" style="24" customWidth="1"/>
    <col min="12" max="12" width="20.109375" style="24" customWidth="1"/>
    <col min="13" max="13" width="8.44140625" style="24" customWidth="1"/>
    <col min="14" max="16384" width="11.44140625" style="24"/>
  </cols>
  <sheetData>
    <row r="1" spans="1:15" ht="5.0999999999999996" customHeight="1" x14ac:dyDescent="0.3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</row>
    <row r="2" spans="1:15" s="25" customFormat="1" ht="17.399999999999999" x14ac:dyDescent="0.35">
      <c r="A2" s="27"/>
      <c r="B2" s="337"/>
      <c r="C2" s="75"/>
      <c r="D2" s="91" t="str">
        <f>IF( OR(Securite="Confidentiel SII",Securite="Secret SII"), Securite,"")</f>
        <v/>
      </c>
      <c r="E2" s="75"/>
      <c r="F2" s="88" t="s">
        <v>45</v>
      </c>
      <c r="G2" s="89" t="str">
        <f>ident</f>
        <v>&lt;TTTT-PPPP-XX-NNNN-0y-0z&gt;</v>
      </c>
      <c r="H2" s="29"/>
      <c r="I2" s="29"/>
      <c r="J2" s="29"/>
      <c r="K2" s="38"/>
      <c r="L2" s="43"/>
      <c r="M2" s="44"/>
      <c r="N2" s="23"/>
      <c r="O2" s="23"/>
    </row>
    <row r="3" spans="1:15" s="25" customFormat="1" x14ac:dyDescent="0.35">
      <c r="A3" s="27"/>
      <c r="B3" s="337"/>
      <c r="C3" s="338" t="str">
        <f>TypeDoc</f>
        <v>Fiche de revue de pairs</v>
      </c>
      <c r="D3" s="338"/>
      <c r="E3" s="338"/>
      <c r="F3" s="88" t="s">
        <v>46</v>
      </c>
      <c r="G3" s="90">
        <f>date</f>
        <v>44981</v>
      </c>
      <c r="H3" s="29"/>
      <c r="I3" s="29"/>
      <c r="J3" s="29"/>
      <c r="K3" s="38"/>
      <c r="L3" s="43"/>
      <c r="M3" s="44"/>
      <c r="N3" s="23"/>
      <c r="O3" s="23"/>
    </row>
    <row r="4" spans="1:15" s="25" customFormat="1" x14ac:dyDescent="0.35">
      <c r="A4" s="27"/>
      <c r="B4" s="337"/>
      <c r="C4" s="338"/>
      <c r="D4" s="338"/>
      <c r="E4" s="338"/>
      <c r="F4" s="88" t="s">
        <v>47</v>
      </c>
      <c r="G4" s="90" t="str">
        <f>projet</f>
        <v>&lt;Nom du Projet&gt;</v>
      </c>
      <c r="H4" s="29"/>
      <c r="I4" s="29"/>
      <c r="J4" s="29"/>
      <c r="K4" s="38"/>
      <c r="L4" s="45"/>
      <c r="M4" s="46"/>
      <c r="N4" s="23"/>
      <c r="O4" s="23"/>
    </row>
    <row r="5" spans="1:15" s="25" customFormat="1" x14ac:dyDescent="0.35">
      <c r="A5" s="27"/>
      <c r="B5" s="337"/>
      <c r="C5" s="338"/>
      <c r="D5" s="338"/>
      <c r="E5" s="338"/>
      <c r="F5" s="88" t="s">
        <v>48</v>
      </c>
      <c r="G5" s="89" t="str">
        <f>client</f>
        <v>&lt;Nom du Client&gt;</v>
      </c>
      <c r="H5" s="29"/>
      <c r="I5" s="29"/>
      <c r="J5" s="29"/>
      <c r="K5" s="39"/>
      <c r="L5" s="40"/>
      <c r="M5" s="41"/>
      <c r="N5" s="23"/>
      <c r="O5" s="23"/>
    </row>
    <row r="6" spans="1:15" ht="15" x14ac:dyDescent="0.35">
      <c r="B6" s="76" t="str">
        <f>agence</f>
        <v>Toulouse</v>
      </c>
      <c r="C6" s="77"/>
      <c r="D6" s="77"/>
      <c r="E6" s="88" t="s">
        <v>49</v>
      </c>
      <c r="F6" s="84" t="str">
        <f>ref_modele</f>
        <v>D3-0335-03-01</v>
      </c>
      <c r="G6" s="81"/>
      <c r="H6" s="28"/>
      <c r="I6" s="28"/>
      <c r="J6" s="28"/>
      <c r="K6" s="28"/>
      <c r="L6" s="28"/>
      <c r="M6" s="28"/>
    </row>
    <row r="7" spans="1:15" ht="5.0999999999999996" customHeight="1" x14ac:dyDescent="0.35">
      <c r="B7" s="339"/>
      <c r="C7" s="339"/>
      <c r="D7" s="339"/>
      <c r="E7" s="339"/>
      <c r="F7" s="339"/>
      <c r="G7" s="75"/>
      <c r="H7" s="42"/>
      <c r="I7" s="42"/>
      <c r="J7" s="42"/>
      <c r="K7" s="42"/>
      <c r="L7" s="42"/>
      <c r="M7" s="28"/>
    </row>
    <row r="8" spans="1:15" ht="15" x14ac:dyDescent="0.35">
      <c r="B8" s="340" t="s">
        <v>83</v>
      </c>
      <c r="C8" s="340"/>
      <c r="D8" s="340"/>
      <c r="E8" s="340"/>
      <c r="F8" s="340"/>
      <c r="G8" s="340"/>
    </row>
    <row r="9" spans="1:15" ht="5.0999999999999996" customHeight="1" x14ac:dyDescent="0.35"/>
    <row r="10" spans="1:15" ht="15.6" x14ac:dyDescent="0.35">
      <c r="B10" s="111" t="s">
        <v>80</v>
      </c>
      <c r="C10" s="159">
        <f>COUNTA('Fiche de relecture de pairs'!$F$27:$F$494)-1</f>
        <v>0</v>
      </c>
      <c r="D10" s="164"/>
      <c r="E10" s="111" t="s">
        <v>105</v>
      </c>
      <c r="F10" s="159">
        <f>COUNTIF('Fiche de relecture de pairs'!$G$27:$G$498,"Forme")</f>
        <v>0</v>
      </c>
      <c r="G10" s="164"/>
    </row>
    <row r="11" spans="1:15" ht="15.6" x14ac:dyDescent="0.35">
      <c r="B11" s="111" t="s">
        <v>81</v>
      </c>
      <c r="C11" s="160">
        <f>SUM('Fiche de relecture de pairs'!$L$27:$L$500)</f>
        <v>0</v>
      </c>
      <c r="D11" s="164"/>
      <c r="E11" s="111" t="s">
        <v>106</v>
      </c>
      <c r="F11" s="159">
        <f>COUNTIF('Fiche de relecture de pairs'!$G$27:$G$498,"Fond")</f>
        <v>0</v>
      </c>
      <c r="G11" s="164"/>
    </row>
    <row r="12" spans="1:15" ht="15.6" x14ac:dyDescent="0.35">
      <c r="B12" s="111" t="s">
        <v>88</v>
      </c>
      <c r="C12" s="163">
        <f>SUMIF(PARAMETRES!B47:B400,"Vérification",PARAMETRES!F47:F502)</f>
        <v>0</v>
      </c>
      <c r="D12" s="164"/>
      <c r="E12" s="111" t="s">
        <v>245</v>
      </c>
      <c r="F12" s="159">
        <f>COUNTIF('Fiche de relecture de pairs'!$H$27:$H$498,"Majeure")</f>
        <v>0</v>
      </c>
      <c r="G12" s="140"/>
    </row>
    <row r="13" spans="1:15" ht="15.6" x14ac:dyDescent="0.35">
      <c r="B13" s="111" t="s">
        <v>84</v>
      </c>
      <c r="C13" s="171">
        <f>COUNTIF('Fiche de relecture de pairs'!N27:N31,"")+COUNTIF('Fiche de relecture de pairs'!N27:N31,"Non")</f>
        <v>4</v>
      </c>
      <c r="D13" s="140"/>
      <c r="E13" s="111" t="s">
        <v>246</v>
      </c>
      <c r="F13" s="159">
        <f>COUNTIF('Fiche de relecture de pairs'!$H$27:$H$498,"Mineure")</f>
        <v>0</v>
      </c>
      <c r="G13" s="140"/>
    </row>
    <row r="14" spans="1:15" ht="15.6" x14ac:dyDescent="0.35">
      <c r="B14" s="111" t="s">
        <v>85</v>
      </c>
      <c r="C14" s="171">
        <f>COUNTIF('Fiche de relecture de pairs'!N27:N31,"Oui")</f>
        <v>0</v>
      </c>
      <c r="D14" s="140"/>
      <c r="E14" s="141"/>
      <c r="F14" s="142"/>
      <c r="G14" s="140"/>
    </row>
    <row r="16" spans="1:15" x14ac:dyDescent="0.35">
      <c r="B16" s="221" t="s">
        <v>251</v>
      </c>
    </row>
    <row r="17" spans="2:3" ht="15.6" x14ac:dyDescent="0.35">
      <c r="B17" s="111" t="s">
        <v>247</v>
      </c>
      <c r="C17" s="159"/>
    </row>
    <row r="18" spans="2:3" ht="15.6" x14ac:dyDescent="0.35">
      <c r="B18" s="111" t="s">
        <v>248</v>
      </c>
      <c r="C18" s="159"/>
    </row>
    <row r="19" spans="2:3" ht="15.6" x14ac:dyDescent="0.35">
      <c r="B19" s="111" t="s">
        <v>249</v>
      </c>
      <c r="C19" s="159"/>
    </row>
    <row r="20" spans="2:3" ht="15.6" x14ac:dyDescent="0.35">
      <c r="B20" s="111" t="s">
        <v>250</v>
      </c>
      <c r="C20" s="159"/>
    </row>
  </sheetData>
  <sheetProtection selectLockedCells="1"/>
  <customSheetViews>
    <customSheetView guid="{352E0FD3-3DC0-4799-BF18-7F7B8D094994}" showGridLines="0" fitToPage="1">
      <selection activeCell="C3" sqref="C3:E5"/>
      <pageMargins left="0.39370078740157483" right="0.39370078740157483" top="0.78740157480314965" bottom="0.78740157480314965" header="0.39370078740157483" footer="0.39370078740157483"/>
      <printOptions horizontalCentered="1"/>
      <pageSetup paperSize="9" scale="72" orientation="landscape" r:id="rId1"/>
      <headerFooter alignWithMargins="0">
        <oddFooter>&amp;L&amp;"Trebuchet MS,Gras"&amp;12Onglet &amp;A &amp;P / &amp;N&amp;C&amp;"Trebuchet MS,Italique"&amp;12- Ce document est la propriété du groupe SII -&amp;R&amp;"Trebuchet MS,Gras"&amp;12&amp;F</oddFooter>
      </headerFooter>
    </customSheetView>
  </customSheetViews>
  <mergeCells count="4">
    <mergeCell ref="B2:B5"/>
    <mergeCell ref="C3:E5"/>
    <mergeCell ref="B7:F7"/>
    <mergeCell ref="B8:G8"/>
  </mergeCells>
  <printOptions horizontalCentered="1"/>
  <pageMargins left="0.39370078740157483" right="0.39370078740157483" top="0.78740157480314965" bottom="0.78740157480314965" header="0.39370078740157483" footer="0.39370078740157483"/>
  <pageSetup paperSize="9" scale="72" orientation="landscape" r:id="rId2"/>
  <headerFooter alignWithMargins="0">
    <oddFooter>&amp;L&amp;"Trebuchet MS,Gras"&amp;12Onglet &amp;A &amp;P / &amp;N&amp;C&amp;"Trebuchet MS,Italique"&amp;12- Ce document est la propriété du groupe SII -&amp;R&amp;"Trebuchet MS,Gras"&amp;12&amp;F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AE31"/>
  <sheetViews>
    <sheetView showGridLines="0" zoomScale="82" zoomScaleNormal="82" workbookViewId="0">
      <selection activeCell="E47" sqref="E47"/>
    </sheetView>
  </sheetViews>
  <sheetFormatPr baseColWidth="10" defaultRowHeight="13.8" x14ac:dyDescent="0.3"/>
  <cols>
    <col min="1" max="1" width="1.6640625" style="31" customWidth="1"/>
    <col min="2" max="2" width="27" style="31" customWidth="1"/>
    <col min="3" max="3" width="18.33203125" style="31" customWidth="1"/>
    <col min="4" max="4" width="10.6640625" style="31" customWidth="1"/>
    <col min="5" max="5" width="25.44140625" style="31" customWidth="1"/>
    <col min="6" max="6" width="55.6640625" style="31" customWidth="1"/>
    <col min="7" max="7" width="14" style="31" customWidth="1"/>
    <col min="8" max="8" width="23.5546875" style="31" customWidth="1"/>
    <col min="9" max="9" width="16.6640625" style="31" bestFit="1" customWidth="1"/>
    <col min="10" max="10" width="17" style="31" customWidth="1"/>
    <col min="11" max="11" width="40.6640625" style="31" customWidth="1"/>
    <col min="12" max="13" width="19.33203125" style="31" customWidth="1"/>
    <col min="14" max="14" width="17.33203125" style="31" customWidth="1"/>
    <col min="15" max="261" width="11.44140625" style="31"/>
    <col min="262" max="262" width="1.6640625" style="31" customWidth="1"/>
    <col min="263" max="264" width="10.6640625" style="31" customWidth="1"/>
    <col min="265" max="265" width="55.6640625" style="31" customWidth="1"/>
    <col min="266" max="266" width="16.6640625" style="31" bestFit="1" customWidth="1"/>
    <col min="267" max="267" width="17" style="31" customWidth="1"/>
    <col min="268" max="268" width="40.6640625" style="31" customWidth="1"/>
    <col min="269" max="269" width="29.6640625" style="31" bestFit="1" customWidth="1"/>
    <col min="270" max="270" width="1.6640625" style="31" customWidth="1"/>
    <col min="271" max="517" width="11.44140625" style="31"/>
    <col min="518" max="518" width="1.6640625" style="31" customWidth="1"/>
    <col min="519" max="520" width="10.6640625" style="31" customWidth="1"/>
    <col min="521" max="521" width="55.6640625" style="31" customWidth="1"/>
    <col min="522" max="522" width="16.6640625" style="31" bestFit="1" customWidth="1"/>
    <col min="523" max="523" width="17" style="31" customWidth="1"/>
    <col min="524" max="524" width="40.6640625" style="31" customWidth="1"/>
    <col min="525" max="525" width="29.6640625" style="31" bestFit="1" customWidth="1"/>
    <col min="526" max="526" width="1.6640625" style="31" customWidth="1"/>
    <col min="527" max="773" width="11.44140625" style="31"/>
    <col min="774" max="774" width="1.6640625" style="31" customWidth="1"/>
    <col min="775" max="776" width="10.6640625" style="31" customWidth="1"/>
    <col min="777" max="777" width="55.6640625" style="31" customWidth="1"/>
    <col min="778" max="778" width="16.6640625" style="31" bestFit="1" customWidth="1"/>
    <col min="779" max="779" width="17" style="31" customWidth="1"/>
    <col min="780" max="780" width="40.6640625" style="31" customWidth="1"/>
    <col min="781" max="781" width="29.6640625" style="31" bestFit="1" customWidth="1"/>
    <col min="782" max="782" width="1.6640625" style="31" customWidth="1"/>
    <col min="783" max="1029" width="11.44140625" style="31"/>
    <col min="1030" max="1030" width="1.6640625" style="31" customWidth="1"/>
    <col min="1031" max="1032" width="10.6640625" style="31" customWidth="1"/>
    <col min="1033" max="1033" width="55.6640625" style="31" customWidth="1"/>
    <col min="1034" max="1034" width="16.6640625" style="31" bestFit="1" customWidth="1"/>
    <col min="1035" max="1035" width="17" style="31" customWidth="1"/>
    <col min="1036" max="1036" width="40.6640625" style="31" customWidth="1"/>
    <col min="1037" max="1037" width="29.6640625" style="31" bestFit="1" customWidth="1"/>
    <col min="1038" max="1038" width="1.6640625" style="31" customWidth="1"/>
    <col min="1039" max="1285" width="11.44140625" style="31"/>
    <col min="1286" max="1286" width="1.6640625" style="31" customWidth="1"/>
    <col min="1287" max="1288" width="10.6640625" style="31" customWidth="1"/>
    <col min="1289" max="1289" width="55.6640625" style="31" customWidth="1"/>
    <col min="1290" max="1290" width="16.6640625" style="31" bestFit="1" customWidth="1"/>
    <col min="1291" max="1291" width="17" style="31" customWidth="1"/>
    <col min="1292" max="1292" width="40.6640625" style="31" customWidth="1"/>
    <col min="1293" max="1293" width="29.6640625" style="31" bestFit="1" customWidth="1"/>
    <col min="1294" max="1294" width="1.6640625" style="31" customWidth="1"/>
    <col min="1295" max="1541" width="11.44140625" style="31"/>
    <col min="1542" max="1542" width="1.6640625" style="31" customWidth="1"/>
    <col min="1543" max="1544" width="10.6640625" style="31" customWidth="1"/>
    <col min="1545" max="1545" width="55.6640625" style="31" customWidth="1"/>
    <col min="1546" max="1546" width="16.6640625" style="31" bestFit="1" customWidth="1"/>
    <col min="1547" max="1547" width="17" style="31" customWidth="1"/>
    <col min="1548" max="1548" width="40.6640625" style="31" customWidth="1"/>
    <col min="1549" max="1549" width="29.6640625" style="31" bestFit="1" customWidth="1"/>
    <col min="1550" max="1550" width="1.6640625" style="31" customWidth="1"/>
    <col min="1551" max="1797" width="11.44140625" style="31"/>
    <col min="1798" max="1798" width="1.6640625" style="31" customWidth="1"/>
    <col min="1799" max="1800" width="10.6640625" style="31" customWidth="1"/>
    <col min="1801" max="1801" width="55.6640625" style="31" customWidth="1"/>
    <col min="1802" max="1802" width="16.6640625" style="31" bestFit="1" customWidth="1"/>
    <col min="1803" max="1803" width="17" style="31" customWidth="1"/>
    <col min="1804" max="1804" width="40.6640625" style="31" customWidth="1"/>
    <col min="1805" max="1805" width="29.6640625" style="31" bestFit="1" customWidth="1"/>
    <col min="1806" max="1806" width="1.6640625" style="31" customWidth="1"/>
    <col min="1807" max="2053" width="11.44140625" style="31"/>
    <col min="2054" max="2054" width="1.6640625" style="31" customWidth="1"/>
    <col min="2055" max="2056" width="10.6640625" style="31" customWidth="1"/>
    <col min="2057" max="2057" width="55.6640625" style="31" customWidth="1"/>
    <col min="2058" max="2058" width="16.6640625" style="31" bestFit="1" customWidth="1"/>
    <col min="2059" max="2059" width="17" style="31" customWidth="1"/>
    <col min="2060" max="2060" width="40.6640625" style="31" customWidth="1"/>
    <col min="2061" max="2061" width="29.6640625" style="31" bestFit="1" customWidth="1"/>
    <col min="2062" max="2062" width="1.6640625" style="31" customWidth="1"/>
    <col min="2063" max="2309" width="11.44140625" style="31"/>
    <col min="2310" max="2310" width="1.6640625" style="31" customWidth="1"/>
    <col min="2311" max="2312" width="10.6640625" style="31" customWidth="1"/>
    <col min="2313" max="2313" width="55.6640625" style="31" customWidth="1"/>
    <col min="2314" max="2314" width="16.6640625" style="31" bestFit="1" customWidth="1"/>
    <col min="2315" max="2315" width="17" style="31" customWidth="1"/>
    <col min="2316" max="2316" width="40.6640625" style="31" customWidth="1"/>
    <col min="2317" max="2317" width="29.6640625" style="31" bestFit="1" customWidth="1"/>
    <col min="2318" max="2318" width="1.6640625" style="31" customWidth="1"/>
    <col min="2319" max="2565" width="11.44140625" style="31"/>
    <col min="2566" max="2566" width="1.6640625" style="31" customWidth="1"/>
    <col min="2567" max="2568" width="10.6640625" style="31" customWidth="1"/>
    <col min="2569" max="2569" width="55.6640625" style="31" customWidth="1"/>
    <col min="2570" max="2570" width="16.6640625" style="31" bestFit="1" customWidth="1"/>
    <col min="2571" max="2571" width="17" style="31" customWidth="1"/>
    <col min="2572" max="2572" width="40.6640625" style="31" customWidth="1"/>
    <col min="2573" max="2573" width="29.6640625" style="31" bestFit="1" customWidth="1"/>
    <col min="2574" max="2574" width="1.6640625" style="31" customWidth="1"/>
    <col min="2575" max="2821" width="11.44140625" style="31"/>
    <col min="2822" max="2822" width="1.6640625" style="31" customWidth="1"/>
    <col min="2823" max="2824" width="10.6640625" style="31" customWidth="1"/>
    <col min="2825" max="2825" width="55.6640625" style="31" customWidth="1"/>
    <col min="2826" max="2826" width="16.6640625" style="31" bestFit="1" customWidth="1"/>
    <col min="2827" max="2827" width="17" style="31" customWidth="1"/>
    <col min="2828" max="2828" width="40.6640625" style="31" customWidth="1"/>
    <col min="2829" max="2829" width="29.6640625" style="31" bestFit="1" customWidth="1"/>
    <col min="2830" max="2830" width="1.6640625" style="31" customWidth="1"/>
    <col min="2831" max="3077" width="11.44140625" style="31"/>
    <col min="3078" max="3078" width="1.6640625" style="31" customWidth="1"/>
    <col min="3079" max="3080" width="10.6640625" style="31" customWidth="1"/>
    <col min="3081" max="3081" width="55.6640625" style="31" customWidth="1"/>
    <col min="3082" max="3082" width="16.6640625" style="31" bestFit="1" customWidth="1"/>
    <col min="3083" max="3083" width="17" style="31" customWidth="1"/>
    <col min="3084" max="3084" width="40.6640625" style="31" customWidth="1"/>
    <col min="3085" max="3085" width="29.6640625" style="31" bestFit="1" customWidth="1"/>
    <col min="3086" max="3086" width="1.6640625" style="31" customWidth="1"/>
    <col min="3087" max="3333" width="11.44140625" style="31"/>
    <col min="3334" max="3334" width="1.6640625" style="31" customWidth="1"/>
    <col min="3335" max="3336" width="10.6640625" style="31" customWidth="1"/>
    <col min="3337" max="3337" width="55.6640625" style="31" customWidth="1"/>
    <col min="3338" max="3338" width="16.6640625" style="31" bestFit="1" customWidth="1"/>
    <col min="3339" max="3339" width="17" style="31" customWidth="1"/>
    <col min="3340" max="3340" width="40.6640625" style="31" customWidth="1"/>
    <col min="3341" max="3341" width="29.6640625" style="31" bestFit="1" customWidth="1"/>
    <col min="3342" max="3342" width="1.6640625" style="31" customWidth="1"/>
    <col min="3343" max="3589" width="11.44140625" style="31"/>
    <col min="3590" max="3590" width="1.6640625" style="31" customWidth="1"/>
    <col min="3591" max="3592" width="10.6640625" style="31" customWidth="1"/>
    <col min="3593" max="3593" width="55.6640625" style="31" customWidth="1"/>
    <col min="3594" max="3594" width="16.6640625" style="31" bestFit="1" customWidth="1"/>
    <col min="3595" max="3595" width="17" style="31" customWidth="1"/>
    <col min="3596" max="3596" width="40.6640625" style="31" customWidth="1"/>
    <col min="3597" max="3597" width="29.6640625" style="31" bestFit="1" customWidth="1"/>
    <col min="3598" max="3598" width="1.6640625" style="31" customWidth="1"/>
    <col min="3599" max="3845" width="11.44140625" style="31"/>
    <col min="3846" max="3846" width="1.6640625" style="31" customWidth="1"/>
    <col min="3847" max="3848" width="10.6640625" style="31" customWidth="1"/>
    <col min="3849" max="3849" width="55.6640625" style="31" customWidth="1"/>
    <col min="3850" max="3850" width="16.6640625" style="31" bestFit="1" customWidth="1"/>
    <col min="3851" max="3851" width="17" style="31" customWidth="1"/>
    <col min="3852" max="3852" width="40.6640625" style="31" customWidth="1"/>
    <col min="3853" max="3853" width="29.6640625" style="31" bestFit="1" customWidth="1"/>
    <col min="3854" max="3854" width="1.6640625" style="31" customWidth="1"/>
    <col min="3855" max="4101" width="11.44140625" style="31"/>
    <col min="4102" max="4102" width="1.6640625" style="31" customWidth="1"/>
    <col min="4103" max="4104" width="10.6640625" style="31" customWidth="1"/>
    <col min="4105" max="4105" width="55.6640625" style="31" customWidth="1"/>
    <col min="4106" max="4106" width="16.6640625" style="31" bestFit="1" customWidth="1"/>
    <col min="4107" max="4107" width="17" style="31" customWidth="1"/>
    <col min="4108" max="4108" width="40.6640625" style="31" customWidth="1"/>
    <col min="4109" max="4109" width="29.6640625" style="31" bestFit="1" customWidth="1"/>
    <col min="4110" max="4110" width="1.6640625" style="31" customWidth="1"/>
    <col min="4111" max="4357" width="11.44140625" style="31"/>
    <col min="4358" max="4358" width="1.6640625" style="31" customWidth="1"/>
    <col min="4359" max="4360" width="10.6640625" style="31" customWidth="1"/>
    <col min="4361" max="4361" width="55.6640625" style="31" customWidth="1"/>
    <col min="4362" max="4362" width="16.6640625" style="31" bestFit="1" customWidth="1"/>
    <col min="4363" max="4363" width="17" style="31" customWidth="1"/>
    <col min="4364" max="4364" width="40.6640625" style="31" customWidth="1"/>
    <col min="4365" max="4365" width="29.6640625" style="31" bestFit="1" customWidth="1"/>
    <col min="4366" max="4366" width="1.6640625" style="31" customWidth="1"/>
    <col min="4367" max="4613" width="11.44140625" style="31"/>
    <col min="4614" max="4614" width="1.6640625" style="31" customWidth="1"/>
    <col min="4615" max="4616" width="10.6640625" style="31" customWidth="1"/>
    <col min="4617" max="4617" width="55.6640625" style="31" customWidth="1"/>
    <col min="4618" max="4618" width="16.6640625" style="31" bestFit="1" customWidth="1"/>
    <col min="4619" max="4619" width="17" style="31" customWidth="1"/>
    <col min="4620" max="4620" width="40.6640625" style="31" customWidth="1"/>
    <col min="4621" max="4621" width="29.6640625" style="31" bestFit="1" customWidth="1"/>
    <col min="4622" max="4622" width="1.6640625" style="31" customWidth="1"/>
    <col min="4623" max="4869" width="11.44140625" style="31"/>
    <col min="4870" max="4870" width="1.6640625" style="31" customWidth="1"/>
    <col min="4871" max="4872" width="10.6640625" style="31" customWidth="1"/>
    <col min="4873" max="4873" width="55.6640625" style="31" customWidth="1"/>
    <col min="4874" max="4874" width="16.6640625" style="31" bestFit="1" customWidth="1"/>
    <col min="4875" max="4875" width="17" style="31" customWidth="1"/>
    <col min="4876" max="4876" width="40.6640625" style="31" customWidth="1"/>
    <col min="4877" max="4877" width="29.6640625" style="31" bestFit="1" customWidth="1"/>
    <col min="4878" max="4878" width="1.6640625" style="31" customWidth="1"/>
    <col min="4879" max="5125" width="11.44140625" style="31"/>
    <col min="5126" max="5126" width="1.6640625" style="31" customWidth="1"/>
    <col min="5127" max="5128" width="10.6640625" style="31" customWidth="1"/>
    <col min="5129" max="5129" width="55.6640625" style="31" customWidth="1"/>
    <col min="5130" max="5130" width="16.6640625" style="31" bestFit="1" customWidth="1"/>
    <col min="5131" max="5131" width="17" style="31" customWidth="1"/>
    <col min="5132" max="5132" width="40.6640625" style="31" customWidth="1"/>
    <col min="5133" max="5133" width="29.6640625" style="31" bestFit="1" customWidth="1"/>
    <col min="5134" max="5134" width="1.6640625" style="31" customWidth="1"/>
    <col min="5135" max="5381" width="11.44140625" style="31"/>
    <col min="5382" max="5382" width="1.6640625" style="31" customWidth="1"/>
    <col min="5383" max="5384" width="10.6640625" style="31" customWidth="1"/>
    <col min="5385" max="5385" width="55.6640625" style="31" customWidth="1"/>
    <col min="5386" max="5386" width="16.6640625" style="31" bestFit="1" customWidth="1"/>
    <col min="5387" max="5387" width="17" style="31" customWidth="1"/>
    <col min="5388" max="5388" width="40.6640625" style="31" customWidth="1"/>
    <col min="5389" max="5389" width="29.6640625" style="31" bestFit="1" customWidth="1"/>
    <col min="5390" max="5390" width="1.6640625" style="31" customWidth="1"/>
    <col min="5391" max="5637" width="11.44140625" style="31"/>
    <col min="5638" max="5638" width="1.6640625" style="31" customWidth="1"/>
    <col min="5639" max="5640" width="10.6640625" style="31" customWidth="1"/>
    <col min="5641" max="5641" width="55.6640625" style="31" customWidth="1"/>
    <col min="5642" max="5642" width="16.6640625" style="31" bestFit="1" customWidth="1"/>
    <col min="5643" max="5643" width="17" style="31" customWidth="1"/>
    <col min="5644" max="5644" width="40.6640625" style="31" customWidth="1"/>
    <col min="5645" max="5645" width="29.6640625" style="31" bestFit="1" customWidth="1"/>
    <col min="5646" max="5646" width="1.6640625" style="31" customWidth="1"/>
    <col min="5647" max="5893" width="11.44140625" style="31"/>
    <col min="5894" max="5894" width="1.6640625" style="31" customWidth="1"/>
    <col min="5895" max="5896" width="10.6640625" style="31" customWidth="1"/>
    <col min="5897" max="5897" width="55.6640625" style="31" customWidth="1"/>
    <col min="5898" max="5898" width="16.6640625" style="31" bestFit="1" customWidth="1"/>
    <col min="5899" max="5899" width="17" style="31" customWidth="1"/>
    <col min="5900" max="5900" width="40.6640625" style="31" customWidth="1"/>
    <col min="5901" max="5901" width="29.6640625" style="31" bestFit="1" customWidth="1"/>
    <col min="5902" max="5902" width="1.6640625" style="31" customWidth="1"/>
    <col min="5903" max="6149" width="11.44140625" style="31"/>
    <col min="6150" max="6150" width="1.6640625" style="31" customWidth="1"/>
    <col min="6151" max="6152" width="10.6640625" style="31" customWidth="1"/>
    <col min="6153" max="6153" width="55.6640625" style="31" customWidth="1"/>
    <col min="6154" max="6154" width="16.6640625" style="31" bestFit="1" customWidth="1"/>
    <col min="6155" max="6155" width="17" style="31" customWidth="1"/>
    <col min="6156" max="6156" width="40.6640625" style="31" customWidth="1"/>
    <col min="6157" max="6157" width="29.6640625" style="31" bestFit="1" customWidth="1"/>
    <col min="6158" max="6158" width="1.6640625" style="31" customWidth="1"/>
    <col min="6159" max="6405" width="11.44140625" style="31"/>
    <col min="6406" max="6406" width="1.6640625" style="31" customWidth="1"/>
    <col min="6407" max="6408" width="10.6640625" style="31" customWidth="1"/>
    <col min="6409" max="6409" width="55.6640625" style="31" customWidth="1"/>
    <col min="6410" max="6410" width="16.6640625" style="31" bestFit="1" customWidth="1"/>
    <col min="6411" max="6411" width="17" style="31" customWidth="1"/>
    <col min="6412" max="6412" width="40.6640625" style="31" customWidth="1"/>
    <col min="6413" max="6413" width="29.6640625" style="31" bestFit="1" customWidth="1"/>
    <col min="6414" max="6414" width="1.6640625" style="31" customWidth="1"/>
    <col min="6415" max="6661" width="11.44140625" style="31"/>
    <col min="6662" max="6662" width="1.6640625" style="31" customWidth="1"/>
    <col min="6663" max="6664" width="10.6640625" style="31" customWidth="1"/>
    <col min="6665" max="6665" width="55.6640625" style="31" customWidth="1"/>
    <col min="6666" max="6666" width="16.6640625" style="31" bestFit="1" customWidth="1"/>
    <col min="6667" max="6667" width="17" style="31" customWidth="1"/>
    <col min="6668" max="6668" width="40.6640625" style="31" customWidth="1"/>
    <col min="6669" max="6669" width="29.6640625" style="31" bestFit="1" customWidth="1"/>
    <col min="6670" max="6670" width="1.6640625" style="31" customWidth="1"/>
    <col min="6671" max="6917" width="11.44140625" style="31"/>
    <col min="6918" max="6918" width="1.6640625" style="31" customWidth="1"/>
    <col min="6919" max="6920" width="10.6640625" style="31" customWidth="1"/>
    <col min="6921" max="6921" width="55.6640625" style="31" customWidth="1"/>
    <col min="6922" max="6922" width="16.6640625" style="31" bestFit="1" customWidth="1"/>
    <col min="6923" max="6923" width="17" style="31" customWidth="1"/>
    <col min="6924" max="6924" width="40.6640625" style="31" customWidth="1"/>
    <col min="6925" max="6925" width="29.6640625" style="31" bestFit="1" customWidth="1"/>
    <col min="6926" max="6926" width="1.6640625" style="31" customWidth="1"/>
    <col min="6927" max="7173" width="11.44140625" style="31"/>
    <col min="7174" max="7174" width="1.6640625" style="31" customWidth="1"/>
    <col min="7175" max="7176" width="10.6640625" style="31" customWidth="1"/>
    <col min="7177" max="7177" width="55.6640625" style="31" customWidth="1"/>
    <col min="7178" max="7178" width="16.6640625" style="31" bestFit="1" customWidth="1"/>
    <col min="7179" max="7179" width="17" style="31" customWidth="1"/>
    <col min="7180" max="7180" width="40.6640625" style="31" customWidth="1"/>
    <col min="7181" max="7181" width="29.6640625" style="31" bestFit="1" customWidth="1"/>
    <col min="7182" max="7182" width="1.6640625" style="31" customWidth="1"/>
    <col min="7183" max="7429" width="11.44140625" style="31"/>
    <col min="7430" max="7430" width="1.6640625" style="31" customWidth="1"/>
    <col min="7431" max="7432" width="10.6640625" style="31" customWidth="1"/>
    <col min="7433" max="7433" width="55.6640625" style="31" customWidth="1"/>
    <col min="7434" max="7434" width="16.6640625" style="31" bestFit="1" customWidth="1"/>
    <col min="7435" max="7435" width="17" style="31" customWidth="1"/>
    <col min="7436" max="7436" width="40.6640625" style="31" customWidth="1"/>
    <col min="7437" max="7437" width="29.6640625" style="31" bestFit="1" customWidth="1"/>
    <col min="7438" max="7438" width="1.6640625" style="31" customWidth="1"/>
    <col min="7439" max="7685" width="11.44140625" style="31"/>
    <col min="7686" max="7686" width="1.6640625" style="31" customWidth="1"/>
    <col min="7687" max="7688" width="10.6640625" style="31" customWidth="1"/>
    <col min="7689" max="7689" width="55.6640625" style="31" customWidth="1"/>
    <col min="7690" max="7690" width="16.6640625" style="31" bestFit="1" customWidth="1"/>
    <col min="7691" max="7691" width="17" style="31" customWidth="1"/>
    <col min="7692" max="7692" width="40.6640625" style="31" customWidth="1"/>
    <col min="7693" max="7693" width="29.6640625" style="31" bestFit="1" customWidth="1"/>
    <col min="7694" max="7694" width="1.6640625" style="31" customWidth="1"/>
    <col min="7695" max="7941" width="11.44140625" style="31"/>
    <col min="7942" max="7942" width="1.6640625" style="31" customWidth="1"/>
    <col min="7943" max="7944" width="10.6640625" style="31" customWidth="1"/>
    <col min="7945" max="7945" width="55.6640625" style="31" customWidth="1"/>
    <col min="7946" max="7946" width="16.6640625" style="31" bestFit="1" customWidth="1"/>
    <col min="7947" max="7947" width="17" style="31" customWidth="1"/>
    <col min="7948" max="7948" width="40.6640625" style="31" customWidth="1"/>
    <col min="7949" max="7949" width="29.6640625" style="31" bestFit="1" customWidth="1"/>
    <col min="7950" max="7950" width="1.6640625" style="31" customWidth="1"/>
    <col min="7951" max="8197" width="11.44140625" style="31"/>
    <col min="8198" max="8198" width="1.6640625" style="31" customWidth="1"/>
    <col min="8199" max="8200" width="10.6640625" style="31" customWidth="1"/>
    <col min="8201" max="8201" width="55.6640625" style="31" customWidth="1"/>
    <col min="8202" max="8202" width="16.6640625" style="31" bestFit="1" customWidth="1"/>
    <col min="8203" max="8203" width="17" style="31" customWidth="1"/>
    <col min="8204" max="8204" width="40.6640625" style="31" customWidth="1"/>
    <col min="8205" max="8205" width="29.6640625" style="31" bestFit="1" customWidth="1"/>
    <col min="8206" max="8206" width="1.6640625" style="31" customWidth="1"/>
    <col min="8207" max="8453" width="11.44140625" style="31"/>
    <col min="8454" max="8454" width="1.6640625" style="31" customWidth="1"/>
    <col min="8455" max="8456" width="10.6640625" style="31" customWidth="1"/>
    <col min="8457" max="8457" width="55.6640625" style="31" customWidth="1"/>
    <col min="8458" max="8458" width="16.6640625" style="31" bestFit="1" customWidth="1"/>
    <col min="8459" max="8459" width="17" style="31" customWidth="1"/>
    <col min="8460" max="8460" width="40.6640625" style="31" customWidth="1"/>
    <col min="8461" max="8461" width="29.6640625" style="31" bestFit="1" customWidth="1"/>
    <col min="8462" max="8462" width="1.6640625" style="31" customWidth="1"/>
    <col min="8463" max="8709" width="11.44140625" style="31"/>
    <col min="8710" max="8710" width="1.6640625" style="31" customWidth="1"/>
    <col min="8711" max="8712" width="10.6640625" style="31" customWidth="1"/>
    <col min="8713" max="8713" width="55.6640625" style="31" customWidth="1"/>
    <col min="8714" max="8714" width="16.6640625" style="31" bestFit="1" customWidth="1"/>
    <col min="8715" max="8715" width="17" style="31" customWidth="1"/>
    <col min="8716" max="8716" width="40.6640625" style="31" customWidth="1"/>
    <col min="8717" max="8717" width="29.6640625" style="31" bestFit="1" customWidth="1"/>
    <col min="8718" max="8718" width="1.6640625" style="31" customWidth="1"/>
    <col min="8719" max="8965" width="11.44140625" style="31"/>
    <col min="8966" max="8966" width="1.6640625" style="31" customWidth="1"/>
    <col min="8967" max="8968" width="10.6640625" style="31" customWidth="1"/>
    <col min="8969" max="8969" width="55.6640625" style="31" customWidth="1"/>
    <col min="8970" max="8970" width="16.6640625" style="31" bestFit="1" customWidth="1"/>
    <col min="8971" max="8971" width="17" style="31" customWidth="1"/>
    <col min="8972" max="8972" width="40.6640625" style="31" customWidth="1"/>
    <col min="8973" max="8973" width="29.6640625" style="31" bestFit="1" customWidth="1"/>
    <col min="8974" max="8974" width="1.6640625" style="31" customWidth="1"/>
    <col min="8975" max="9221" width="11.44140625" style="31"/>
    <col min="9222" max="9222" width="1.6640625" style="31" customWidth="1"/>
    <col min="9223" max="9224" width="10.6640625" style="31" customWidth="1"/>
    <col min="9225" max="9225" width="55.6640625" style="31" customWidth="1"/>
    <col min="9226" max="9226" width="16.6640625" style="31" bestFit="1" customWidth="1"/>
    <col min="9227" max="9227" width="17" style="31" customWidth="1"/>
    <col min="9228" max="9228" width="40.6640625" style="31" customWidth="1"/>
    <col min="9229" max="9229" width="29.6640625" style="31" bestFit="1" customWidth="1"/>
    <col min="9230" max="9230" width="1.6640625" style="31" customWidth="1"/>
    <col min="9231" max="9477" width="11.44140625" style="31"/>
    <col min="9478" max="9478" width="1.6640625" style="31" customWidth="1"/>
    <col min="9479" max="9480" width="10.6640625" style="31" customWidth="1"/>
    <col min="9481" max="9481" width="55.6640625" style="31" customWidth="1"/>
    <col min="9482" max="9482" width="16.6640625" style="31" bestFit="1" customWidth="1"/>
    <col min="9483" max="9483" width="17" style="31" customWidth="1"/>
    <col min="9484" max="9484" width="40.6640625" style="31" customWidth="1"/>
    <col min="9485" max="9485" width="29.6640625" style="31" bestFit="1" customWidth="1"/>
    <col min="9486" max="9486" width="1.6640625" style="31" customWidth="1"/>
    <col min="9487" max="9733" width="11.44140625" style="31"/>
    <col min="9734" max="9734" width="1.6640625" style="31" customWidth="1"/>
    <col min="9735" max="9736" width="10.6640625" style="31" customWidth="1"/>
    <col min="9737" max="9737" width="55.6640625" style="31" customWidth="1"/>
    <col min="9738" max="9738" width="16.6640625" style="31" bestFit="1" customWidth="1"/>
    <col min="9739" max="9739" width="17" style="31" customWidth="1"/>
    <col min="9740" max="9740" width="40.6640625" style="31" customWidth="1"/>
    <col min="9741" max="9741" width="29.6640625" style="31" bestFit="1" customWidth="1"/>
    <col min="9742" max="9742" width="1.6640625" style="31" customWidth="1"/>
    <col min="9743" max="9989" width="11.44140625" style="31"/>
    <col min="9990" max="9990" width="1.6640625" style="31" customWidth="1"/>
    <col min="9991" max="9992" width="10.6640625" style="31" customWidth="1"/>
    <col min="9993" max="9993" width="55.6640625" style="31" customWidth="1"/>
    <col min="9994" max="9994" width="16.6640625" style="31" bestFit="1" customWidth="1"/>
    <col min="9995" max="9995" width="17" style="31" customWidth="1"/>
    <col min="9996" max="9996" width="40.6640625" style="31" customWidth="1"/>
    <col min="9997" max="9997" width="29.6640625" style="31" bestFit="1" customWidth="1"/>
    <col min="9998" max="9998" width="1.6640625" style="31" customWidth="1"/>
    <col min="9999" max="10245" width="11.44140625" style="31"/>
    <col min="10246" max="10246" width="1.6640625" style="31" customWidth="1"/>
    <col min="10247" max="10248" width="10.6640625" style="31" customWidth="1"/>
    <col min="10249" max="10249" width="55.6640625" style="31" customWidth="1"/>
    <col min="10250" max="10250" width="16.6640625" style="31" bestFit="1" customWidth="1"/>
    <col min="10251" max="10251" width="17" style="31" customWidth="1"/>
    <col min="10252" max="10252" width="40.6640625" style="31" customWidth="1"/>
    <col min="10253" max="10253" width="29.6640625" style="31" bestFit="1" customWidth="1"/>
    <col min="10254" max="10254" width="1.6640625" style="31" customWidth="1"/>
    <col min="10255" max="10501" width="11.44140625" style="31"/>
    <col min="10502" max="10502" width="1.6640625" style="31" customWidth="1"/>
    <col min="10503" max="10504" width="10.6640625" style="31" customWidth="1"/>
    <col min="10505" max="10505" width="55.6640625" style="31" customWidth="1"/>
    <col min="10506" max="10506" width="16.6640625" style="31" bestFit="1" customWidth="1"/>
    <col min="10507" max="10507" width="17" style="31" customWidth="1"/>
    <col min="10508" max="10508" width="40.6640625" style="31" customWidth="1"/>
    <col min="10509" max="10509" width="29.6640625" style="31" bestFit="1" customWidth="1"/>
    <col min="10510" max="10510" width="1.6640625" style="31" customWidth="1"/>
    <col min="10511" max="10757" width="11.44140625" style="31"/>
    <col min="10758" max="10758" width="1.6640625" style="31" customWidth="1"/>
    <col min="10759" max="10760" width="10.6640625" style="31" customWidth="1"/>
    <col min="10761" max="10761" width="55.6640625" style="31" customWidth="1"/>
    <col min="10762" max="10762" width="16.6640625" style="31" bestFit="1" customWidth="1"/>
    <col min="10763" max="10763" width="17" style="31" customWidth="1"/>
    <col min="10764" max="10764" width="40.6640625" style="31" customWidth="1"/>
    <col min="10765" max="10765" width="29.6640625" style="31" bestFit="1" customWidth="1"/>
    <col min="10766" max="10766" width="1.6640625" style="31" customWidth="1"/>
    <col min="10767" max="11013" width="11.44140625" style="31"/>
    <col min="11014" max="11014" width="1.6640625" style="31" customWidth="1"/>
    <col min="11015" max="11016" width="10.6640625" style="31" customWidth="1"/>
    <col min="11017" max="11017" width="55.6640625" style="31" customWidth="1"/>
    <col min="11018" max="11018" width="16.6640625" style="31" bestFit="1" customWidth="1"/>
    <col min="11019" max="11019" width="17" style="31" customWidth="1"/>
    <col min="11020" max="11020" width="40.6640625" style="31" customWidth="1"/>
    <col min="11021" max="11021" width="29.6640625" style="31" bestFit="1" customWidth="1"/>
    <col min="11022" max="11022" width="1.6640625" style="31" customWidth="1"/>
    <col min="11023" max="11269" width="11.44140625" style="31"/>
    <col min="11270" max="11270" width="1.6640625" style="31" customWidth="1"/>
    <col min="11271" max="11272" width="10.6640625" style="31" customWidth="1"/>
    <col min="11273" max="11273" width="55.6640625" style="31" customWidth="1"/>
    <col min="11274" max="11274" width="16.6640625" style="31" bestFit="1" customWidth="1"/>
    <col min="11275" max="11275" width="17" style="31" customWidth="1"/>
    <col min="11276" max="11276" width="40.6640625" style="31" customWidth="1"/>
    <col min="11277" max="11277" width="29.6640625" style="31" bestFit="1" customWidth="1"/>
    <col min="11278" max="11278" width="1.6640625" style="31" customWidth="1"/>
    <col min="11279" max="11525" width="11.44140625" style="31"/>
    <col min="11526" max="11526" width="1.6640625" style="31" customWidth="1"/>
    <col min="11527" max="11528" width="10.6640625" style="31" customWidth="1"/>
    <col min="11529" max="11529" width="55.6640625" style="31" customWidth="1"/>
    <col min="11530" max="11530" width="16.6640625" style="31" bestFit="1" customWidth="1"/>
    <col min="11531" max="11531" width="17" style="31" customWidth="1"/>
    <col min="11532" max="11532" width="40.6640625" style="31" customWidth="1"/>
    <col min="11533" max="11533" width="29.6640625" style="31" bestFit="1" customWidth="1"/>
    <col min="11534" max="11534" width="1.6640625" style="31" customWidth="1"/>
    <col min="11535" max="11781" width="11.44140625" style="31"/>
    <col min="11782" max="11782" width="1.6640625" style="31" customWidth="1"/>
    <col min="11783" max="11784" width="10.6640625" style="31" customWidth="1"/>
    <col min="11785" max="11785" width="55.6640625" style="31" customWidth="1"/>
    <col min="11786" max="11786" width="16.6640625" style="31" bestFit="1" customWidth="1"/>
    <col min="11787" max="11787" width="17" style="31" customWidth="1"/>
    <col min="11788" max="11788" width="40.6640625" style="31" customWidth="1"/>
    <col min="11789" max="11789" width="29.6640625" style="31" bestFit="1" customWidth="1"/>
    <col min="11790" max="11790" width="1.6640625" style="31" customWidth="1"/>
    <col min="11791" max="12037" width="11.44140625" style="31"/>
    <col min="12038" max="12038" width="1.6640625" style="31" customWidth="1"/>
    <col min="12039" max="12040" width="10.6640625" style="31" customWidth="1"/>
    <col min="12041" max="12041" width="55.6640625" style="31" customWidth="1"/>
    <col min="12042" max="12042" width="16.6640625" style="31" bestFit="1" customWidth="1"/>
    <col min="12043" max="12043" width="17" style="31" customWidth="1"/>
    <col min="12044" max="12044" width="40.6640625" style="31" customWidth="1"/>
    <col min="12045" max="12045" width="29.6640625" style="31" bestFit="1" customWidth="1"/>
    <col min="12046" max="12046" width="1.6640625" style="31" customWidth="1"/>
    <col min="12047" max="12293" width="11.44140625" style="31"/>
    <col min="12294" max="12294" width="1.6640625" style="31" customWidth="1"/>
    <col min="12295" max="12296" width="10.6640625" style="31" customWidth="1"/>
    <col min="12297" max="12297" width="55.6640625" style="31" customWidth="1"/>
    <col min="12298" max="12298" width="16.6640625" style="31" bestFit="1" customWidth="1"/>
    <col min="12299" max="12299" width="17" style="31" customWidth="1"/>
    <col min="12300" max="12300" width="40.6640625" style="31" customWidth="1"/>
    <col min="12301" max="12301" width="29.6640625" style="31" bestFit="1" customWidth="1"/>
    <col min="12302" max="12302" width="1.6640625" style="31" customWidth="1"/>
    <col min="12303" max="12549" width="11.44140625" style="31"/>
    <col min="12550" max="12550" width="1.6640625" style="31" customWidth="1"/>
    <col min="12551" max="12552" width="10.6640625" style="31" customWidth="1"/>
    <col min="12553" max="12553" width="55.6640625" style="31" customWidth="1"/>
    <col min="12554" max="12554" width="16.6640625" style="31" bestFit="1" customWidth="1"/>
    <col min="12555" max="12555" width="17" style="31" customWidth="1"/>
    <col min="12556" max="12556" width="40.6640625" style="31" customWidth="1"/>
    <col min="12557" max="12557" width="29.6640625" style="31" bestFit="1" customWidth="1"/>
    <col min="12558" max="12558" width="1.6640625" style="31" customWidth="1"/>
    <col min="12559" max="12805" width="11.44140625" style="31"/>
    <col min="12806" max="12806" width="1.6640625" style="31" customWidth="1"/>
    <col min="12807" max="12808" width="10.6640625" style="31" customWidth="1"/>
    <col min="12809" max="12809" width="55.6640625" style="31" customWidth="1"/>
    <col min="12810" max="12810" width="16.6640625" style="31" bestFit="1" customWidth="1"/>
    <col min="12811" max="12811" width="17" style="31" customWidth="1"/>
    <col min="12812" max="12812" width="40.6640625" style="31" customWidth="1"/>
    <col min="12813" max="12813" width="29.6640625" style="31" bestFit="1" customWidth="1"/>
    <col min="12814" max="12814" width="1.6640625" style="31" customWidth="1"/>
    <col min="12815" max="13061" width="11.44140625" style="31"/>
    <col min="13062" max="13062" width="1.6640625" style="31" customWidth="1"/>
    <col min="13063" max="13064" width="10.6640625" style="31" customWidth="1"/>
    <col min="13065" max="13065" width="55.6640625" style="31" customWidth="1"/>
    <col min="13066" max="13066" width="16.6640625" style="31" bestFit="1" customWidth="1"/>
    <col min="13067" max="13067" width="17" style="31" customWidth="1"/>
    <col min="13068" max="13068" width="40.6640625" style="31" customWidth="1"/>
    <col min="13069" max="13069" width="29.6640625" style="31" bestFit="1" customWidth="1"/>
    <col min="13070" max="13070" width="1.6640625" style="31" customWidth="1"/>
    <col min="13071" max="13317" width="11.44140625" style="31"/>
    <col min="13318" max="13318" width="1.6640625" style="31" customWidth="1"/>
    <col min="13319" max="13320" width="10.6640625" style="31" customWidth="1"/>
    <col min="13321" max="13321" width="55.6640625" style="31" customWidth="1"/>
    <col min="13322" max="13322" width="16.6640625" style="31" bestFit="1" customWidth="1"/>
    <col min="13323" max="13323" width="17" style="31" customWidth="1"/>
    <col min="13324" max="13324" width="40.6640625" style="31" customWidth="1"/>
    <col min="13325" max="13325" width="29.6640625" style="31" bestFit="1" customWidth="1"/>
    <col min="13326" max="13326" width="1.6640625" style="31" customWidth="1"/>
    <col min="13327" max="13573" width="11.44140625" style="31"/>
    <col min="13574" max="13574" width="1.6640625" style="31" customWidth="1"/>
    <col min="13575" max="13576" width="10.6640625" style="31" customWidth="1"/>
    <col min="13577" max="13577" width="55.6640625" style="31" customWidth="1"/>
    <col min="13578" max="13578" width="16.6640625" style="31" bestFit="1" customWidth="1"/>
    <col min="13579" max="13579" width="17" style="31" customWidth="1"/>
    <col min="13580" max="13580" width="40.6640625" style="31" customWidth="1"/>
    <col min="13581" max="13581" width="29.6640625" style="31" bestFit="1" customWidth="1"/>
    <col min="13582" max="13582" width="1.6640625" style="31" customWidth="1"/>
    <col min="13583" max="13829" width="11.44140625" style="31"/>
    <col min="13830" max="13830" width="1.6640625" style="31" customWidth="1"/>
    <col min="13831" max="13832" width="10.6640625" style="31" customWidth="1"/>
    <col min="13833" max="13833" width="55.6640625" style="31" customWidth="1"/>
    <col min="13834" max="13834" width="16.6640625" style="31" bestFit="1" customWidth="1"/>
    <col min="13835" max="13835" width="17" style="31" customWidth="1"/>
    <col min="13836" max="13836" width="40.6640625" style="31" customWidth="1"/>
    <col min="13837" max="13837" width="29.6640625" style="31" bestFit="1" customWidth="1"/>
    <col min="13838" max="13838" width="1.6640625" style="31" customWidth="1"/>
    <col min="13839" max="14085" width="11.44140625" style="31"/>
    <col min="14086" max="14086" width="1.6640625" style="31" customWidth="1"/>
    <col min="14087" max="14088" width="10.6640625" style="31" customWidth="1"/>
    <col min="14089" max="14089" width="55.6640625" style="31" customWidth="1"/>
    <col min="14090" max="14090" width="16.6640625" style="31" bestFit="1" customWidth="1"/>
    <col min="14091" max="14091" width="17" style="31" customWidth="1"/>
    <col min="14092" max="14092" width="40.6640625" style="31" customWidth="1"/>
    <col min="14093" max="14093" width="29.6640625" style="31" bestFit="1" customWidth="1"/>
    <col min="14094" max="14094" width="1.6640625" style="31" customWidth="1"/>
    <col min="14095" max="14341" width="11.44140625" style="31"/>
    <col min="14342" max="14342" width="1.6640625" style="31" customWidth="1"/>
    <col min="14343" max="14344" width="10.6640625" style="31" customWidth="1"/>
    <col min="14345" max="14345" width="55.6640625" style="31" customWidth="1"/>
    <col min="14346" max="14346" width="16.6640625" style="31" bestFit="1" customWidth="1"/>
    <col min="14347" max="14347" width="17" style="31" customWidth="1"/>
    <col min="14348" max="14348" width="40.6640625" style="31" customWidth="1"/>
    <col min="14349" max="14349" width="29.6640625" style="31" bestFit="1" customWidth="1"/>
    <col min="14350" max="14350" width="1.6640625" style="31" customWidth="1"/>
    <col min="14351" max="14597" width="11.44140625" style="31"/>
    <col min="14598" max="14598" width="1.6640625" style="31" customWidth="1"/>
    <col min="14599" max="14600" width="10.6640625" style="31" customWidth="1"/>
    <col min="14601" max="14601" width="55.6640625" style="31" customWidth="1"/>
    <col min="14602" max="14602" width="16.6640625" style="31" bestFit="1" customWidth="1"/>
    <col min="14603" max="14603" width="17" style="31" customWidth="1"/>
    <col min="14604" max="14604" width="40.6640625" style="31" customWidth="1"/>
    <col min="14605" max="14605" width="29.6640625" style="31" bestFit="1" customWidth="1"/>
    <col min="14606" max="14606" width="1.6640625" style="31" customWidth="1"/>
    <col min="14607" max="14853" width="11.44140625" style="31"/>
    <col min="14854" max="14854" width="1.6640625" style="31" customWidth="1"/>
    <col min="14855" max="14856" width="10.6640625" style="31" customWidth="1"/>
    <col min="14857" max="14857" width="55.6640625" style="31" customWidth="1"/>
    <col min="14858" max="14858" width="16.6640625" style="31" bestFit="1" customWidth="1"/>
    <col min="14859" max="14859" width="17" style="31" customWidth="1"/>
    <col min="14860" max="14860" width="40.6640625" style="31" customWidth="1"/>
    <col min="14861" max="14861" width="29.6640625" style="31" bestFit="1" customWidth="1"/>
    <col min="14862" max="14862" width="1.6640625" style="31" customWidth="1"/>
    <col min="14863" max="15109" width="11.44140625" style="31"/>
    <col min="15110" max="15110" width="1.6640625" style="31" customWidth="1"/>
    <col min="15111" max="15112" width="10.6640625" style="31" customWidth="1"/>
    <col min="15113" max="15113" width="55.6640625" style="31" customWidth="1"/>
    <col min="15114" max="15114" width="16.6640625" style="31" bestFit="1" customWidth="1"/>
    <col min="15115" max="15115" width="17" style="31" customWidth="1"/>
    <col min="15116" max="15116" width="40.6640625" style="31" customWidth="1"/>
    <col min="15117" max="15117" width="29.6640625" style="31" bestFit="1" customWidth="1"/>
    <col min="15118" max="15118" width="1.6640625" style="31" customWidth="1"/>
    <col min="15119" max="15365" width="11.44140625" style="31"/>
    <col min="15366" max="15366" width="1.6640625" style="31" customWidth="1"/>
    <col min="15367" max="15368" width="10.6640625" style="31" customWidth="1"/>
    <col min="15369" max="15369" width="55.6640625" style="31" customWidth="1"/>
    <col min="15370" max="15370" width="16.6640625" style="31" bestFit="1" customWidth="1"/>
    <col min="15371" max="15371" width="17" style="31" customWidth="1"/>
    <col min="15372" max="15372" width="40.6640625" style="31" customWidth="1"/>
    <col min="15373" max="15373" width="29.6640625" style="31" bestFit="1" customWidth="1"/>
    <col min="15374" max="15374" width="1.6640625" style="31" customWidth="1"/>
    <col min="15375" max="15621" width="11.44140625" style="31"/>
    <col min="15622" max="15622" width="1.6640625" style="31" customWidth="1"/>
    <col min="15623" max="15624" width="10.6640625" style="31" customWidth="1"/>
    <col min="15625" max="15625" width="55.6640625" style="31" customWidth="1"/>
    <col min="15626" max="15626" width="16.6640625" style="31" bestFit="1" customWidth="1"/>
    <col min="15627" max="15627" width="17" style="31" customWidth="1"/>
    <col min="15628" max="15628" width="40.6640625" style="31" customWidth="1"/>
    <col min="15629" max="15629" width="29.6640625" style="31" bestFit="1" customWidth="1"/>
    <col min="15630" max="15630" width="1.6640625" style="31" customWidth="1"/>
    <col min="15631" max="15877" width="11.44140625" style="31"/>
    <col min="15878" max="15878" width="1.6640625" style="31" customWidth="1"/>
    <col min="15879" max="15880" width="10.6640625" style="31" customWidth="1"/>
    <col min="15881" max="15881" width="55.6640625" style="31" customWidth="1"/>
    <col min="15882" max="15882" width="16.6640625" style="31" bestFit="1" customWidth="1"/>
    <col min="15883" max="15883" width="17" style="31" customWidth="1"/>
    <col min="15884" max="15884" width="40.6640625" style="31" customWidth="1"/>
    <col min="15885" max="15885" width="29.6640625" style="31" bestFit="1" customWidth="1"/>
    <col min="15886" max="15886" width="1.6640625" style="31" customWidth="1"/>
    <col min="15887" max="16133" width="11.44140625" style="31"/>
    <col min="16134" max="16134" width="1.6640625" style="31" customWidth="1"/>
    <col min="16135" max="16136" width="10.6640625" style="31" customWidth="1"/>
    <col min="16137" max="16137" width="55.6640625" style="31" customWidth="1"/>
    <col min="16138" max="16138" width="16.6640625" style="31" bestFit="1" customWidth="1"/>
    <col min="16139" max="16139" width="17" style="31" customWidth="1"/>
    <col min="16140" max="16140" width="40.6640625" style="31" customWidth="1"/>
    <col min="16141" max="16141" width="29.6640625" style="31" bestFit="1" customWidth="1"/>
    <col min="16142" max="16142" width="1.6640625" style="31" customWidth="1"/>
    <col min="16143" max="16384" width="11.44140625" style="31"/>
  </cols>
  <sheetData>
    <row r="1" spans="1:14" ht="5.0999999999999996" customHeight="1" x14ac:dyDescent="0.3">
      <c r="A1" s="30"/>
      <c r="B1" s="341"/>
      <c r="C1" s="341"/>
      <c r="D1" s="341"/>
      <c r="E1" s="341"/>
      <c r="F1" s="341"/>
      <c r="G1" s="341"/>
      <c r="H1" s="341"/>
      <c r="I1" s="341"/>
      <c r="J1" s="341"/>
    </row>
    <row r="2" spans="1:14" s="33" customFormat="1" ht="17.399999999999999" x14ac:dyDescent="0.3">
      <c r="A2" s="32"/>
      <c r="B2" s="337"/>
      <c r="C2" s="95"/>
      <c r="D2" s="75"/>
      <c r="E2" s="126"/>
      <c r="F2" s="91" t="str">
        <f>IF( OR(Securite="Confidentiel SII",Securite="Secret SII"), Securite,"")</f>
        <v/>
      </c>
      <c r="G2" s="91"/>
      <c r="H2" s="91"/>
      <c r="I2" s="75"/>
      <c r="J2" s="118"/>
      <c r="K2" s="119"/>
      <c r="L2" s="85" t="s">
        <v>3</v>
      </c>
      <c r="M2" s="85"/>
      <c r="N2" s="85"/>
    </row>
    <row r="3" spans="1:14" s="33" customFormat="1" x14ac:dyDescent="0.3">
      <c r="A3" s="32"/>
      <c r="B3" s="337"/>
      <c r="C3" s="95"/>
      <c r="D3" s="338" t="str">
        <f>TypeDoc</f>
        <v>Fiche de revue de pairs</v>
      </c>
      <c r="E3" s="338"/>
      <c r="F3" s="338"/>
      <c r="G3" s="338"/>
      <c r="H3" s="338"/>
      <c r="I3" s="338"/>
      <c r="J3" s="118"/>
      <c r="K3" s="120"/>
      <c r="L3" s="82">
        <f>date</f>
        <v>44981</v>
      </c>
      <c r="M3" s="82"/>
      <c r="N3" s="82"/>
    </row>
    <row r="4" spans="1:14" s="33" customFormat="1" x14ac:dyDescent="0.3">
      <c r="A4" s="32"/>
      <c r="B4" s="337"/>
      <c r="C4" s="95"/>
      <c r="D4" s="338"/>
      <c r="E4" s="338"/>
      <c r="F4" s="338"/>
      <c r="G4" s="338"/>
      <c r="H4" s="338"/>
      <c r="I4" s="338"/>
      <c r="J4" s="118"/>
      <c r="K4" s="120"/>
      <c r="L4" s="85" t="s">
        <v>2</v>
      </c>
      <c r="M4" s="85"/>
      <c r="N4" s="85"/>
    </row>
    <row r="5" spans="1:14" s="33" customFormat="1" x14ac:dyDescent="0.3">
      <c r="A5" s="32"/>
      <c r="B5" s="337"/>
      <c r="C5" s="95"/>
      <c r="D5" s="338"/>
      <c r="E5" s="338"/>
      <c r="F5" s="338"/>
      <c r="G5" s="338"/>
      <c r="H5" s="338"/>
      <c r="I5" s="338"/>
      <c r="J5" s="118"/>
      <c r="K5" s="120"/>
      <c r="L5" s="83" t="str">
        <f>ident</f>
        <v>&lt;TTTT-PPPP-XX-NNNN-0y-0z&gt;</v>
      </c>
      <c r="M5" s="83"/>
      <c r="N5" s="83"/>
    </row>
    <row r="6" spans="1:14" s="33" customFormat="1" ht="15.6" x14ac:dyDescent="0.3">
      <c r="A6" s="32"/>
      <c r="B6" s="76" t="str">
        <f>agence</f>
        <v>Toulouse</v>
      </c>
      <c r="C6" s="76"/>
      <c r="D6" s="77"/>
      <c r="E6" s="77"/>
      <c r="F6" s="77"/>
      <c r="G6" s="77"/>
      <c r="H6" s="77"/>
      <c r="I6" s="118"/>
      <c r="J6" s="118"/>
      <c r="K6" s="185" t="s">
        <v>50</v>
      </c>
      <c r="L6" s="84" t="str">
        <f>ref_modele</f>
        <v>D3-0335-03-01</v>
      </c>
      <c r="M6" s="84"/>
      <c r="N6" s="84"/>
    </row>
    <row r="7" spans="1:14" ht="5.0999999999999996" customHeight="1" x14ac:dyDescent="0.3">
      <c r="A7" s="30"/>
      <c r="B7" s="343"/>
      <c r="C7" s="343"/>
      <c r="D7" s="343"/>
      <c r="E7" s="343"/>
      <c r="F7" s="343"/>
      <c r="G7" s="343"/>
      <c r="H7" s="343"/>
      <c r="I7" s="343"/>
      <c r="J7" s="343"/>
      <c r="K7" s="117"/>
      <c r="L7" s="117"/>
      <c r="M7" s="117"/>
      <c r="N7" s="117"/>
    </row>
    <row r="8" spans="1:14" ht="14.4" x14ac:dyDescent="0.3">
      <c r="A8" s="30"/>
      <c r="B8" s="188"/>
      <c r="C8" s="80" t="s">
        <v>4</v>
      </c>
      <c r="D8" s="86" t="str">
        <f>projet</f>
        <v>&lt;Nom du Projet&gt;</v>
      </c>
      <c r="E8" s="86"/>
      <c r="F8" s="193"/>
      <c r="G8" s="192"/>
      <c r="H8" s="188"/>
      <c r="I8" s="188"/>
      <c r="J8" s="344" t="s">
        <v>5</v>
      </c>
      <c r="K8" s="344"/>
      <c r="L8" s="189" t="str">
        <f>client</f>
        <v>&lt;Nom du Client&gt;</v>
      </c>
      <c r="M8" s="189"/>
      <c r="N8" s="87"/>
    </row>
    <row r="9" spans="1:14" ht="5.0999999999999996" customHeight="1" x14ac:dyDescent="0.3">
      <c r="A9" s="30"/>
      <c r="C9" s="178"/>
      <c r="D9" s="178"/>
      <c r="E9" s="178"/>
      <c r="F9" s="178"/>
      <c r="G9" s="178"/>
      <c r="H9" s="178"/>
      <c r="I9" s="178"/>
      <c r="J9" s="186"/>
      <c r="K9" s="187"/>
      <c r="L9" s="190"/>
      <c r="M9" s="190"/>
      <c r="N9" s="117"/>
    </row>
    <row r="10" spans="1:14" ht="14.4" x14ac:dyDescent="0.3">
      <c r="A10" s="30"/>
      <c r="B10" s="188"/>
      <c r="C10" s="80" t="s">
        <v>59</v>
      </c>
      <c r="D10" s="179" t="str">
        <f>Numéro_IFS</f>
        <v>&lt;Numéro IFS&gt;</v>
      </c>
      <c r="E10" s="86"/>
      <c r="F10" s="193"/>
      <c r="G10" s="192"/>
      <c r="H10" s="188"/>
      <c r="I10" s="188"/>
      <c r="J10" s="344" t="s">
        <v>18</v>
      </c>
      <c r="K10" s="344"/>
      <c r="L10" s="191" t="str">
        <f>version</f>
        <v>&lt;Version du document&gt;</v>
      </c>
      <c r="M10" s="191"/>
      <c r="N10" s="86"/>
    </row>
    <row r="11" spans="1:14" ht="5.0999999999999996" customHeight="1" x14ac:dyDescent="0.3">
      <c r="B11" s="342"/>
      <c r="C11" s="342"/>
      <c r="D11" s="342"/>
      <c r="E11" s="342"/>
      <c r="F11" s="342"/>
      <c r="G11" s="342"/>
      <c r="H11" s="342"/>
      <c r="I11" s="342"/>
      <c r="J11" s="342"/>
      <c r="K11" s="117"/>
      <c r="L11" s="190"/>
      <c r="M11" s="190"/>
      <c r="N11" s="117"/>
    </row>
    <row r="12" spans="1:14" x14ac:dyDescent="0.3">
      <c r="B12" s="346" t="s">
        <v>82</v>
      </c>
      <c r="C12" s="346"/>
      <c r="D12" s="346"/>
      <c r="E12" s="346"/>
      <c r="F12" s="346"/>
      <c r="G12" s="346"/>
      <c r="H12" s="346"/>
      <c r="I12" s="346"/>
      <c r="J12" s="346"/>
      <c r="K12" s="346"/>
      <c r="L12" s="346"/>
      <c r="M12" s="346"/>
      <c r="N12" s="346"/>
    </row>
    <row r="13" spans="1:14" ht="15.75" customHeight="1" x14ac:dyDescent="0.3">
      <c r="B13" s="78"/>
      <c r="C13" s="78"/>
      <c r="D13" s="78"/>
      <c r="E13" s="78"/>
      <c r="F13" s="78"/>
      <c r="G13" s="78"/>
      <c r="H13" s="78"/>
      <c r="I13" s="79"/>
      <c r="J13" s="79"/>
    </row>
    <row r="14" spans="1:14" ht="15.75" customHeight="1" x14ac:dyDescent="0.3">
      <c r="B14" s="128" t="s">
        <v>100</v>
      </c>
      <c r="C14" s="129"/>
      <c r="D14" s="129"/>
      <c r="E14" s="136"/>
      <c r="F14" s="194"/>
      <c r="G14" s="127"/>
      <c r="H14" s="127"/>
      <c r="I14" s="127"/>
      <c r="J14" s="127"/>
      <c r="K14" s="127"/>
      <c r="L14" s="127"/>
      <c r="M14" s="127"/>
      <c r="N14" s="127"/>
    </row>
    <row r="15" spans="1:14" ht="15.75" customHeight="1" x14ac:dyDescent="0.3">
      <c r="B15" s="137" t="s">
        <v>101</v>
      </c>
      <c r="C15" s="130"/>
      <c r="D15" s="130"/>
      <c r="E15" s="133"/>
      <c r="F15" s="195"/>
      <c r="G15" s="127"/>
      <c r="H15" s="127"/>
      <c r="I15" s="127"/>
      <c r="J15" s="127"/>
      <c r="K15" s="127"/>
      <c r="L15" s="127"/>
      <c r="M15" s="127"/>
      <c r="N15" s="127"/>
    </row>
    <row r="16" spans="1:14" ht="15.75" customHeight="1" x14ac:dyDescent="0.3">
      <c r="B16" s="138"/>
      <c r="C16" s="204" t="s">
        <v>102</v>
      </c>
      <c r="D16" s="196"/>
      <c r="E16" s="197"/>
      <c r="F16" s="202"/>
      <c r="G16" s="127"/>
      <c r="H16" s="127"/>
      <c r="I16" s="127"/>
      <c r="J16" s="127"/>
      <c r="K16" s="127"/>
      <c r="L16" s="127"/>
      <c r="M16" s="127"/>
      <c r="N16" s="127"/>
    </row>
    <row r="17" spans="1:31" ht="15.75" customHeight="1" x14ac:dyDescent="0.3">
      <c r="B17" s="138"/>
      <c r="C17" s="205" t="s">
        <v>70</v>
      </c>
      <c r="D17" s="198"/>
      <c r="E17" s="199"/>
      <c r="F17" s="202"/>
      <c r="G17" s="127"/>
      <c r="H17" s="127"/>
      <c r="I17" s="127"/>
      <c r="J17" s="127"/>
      <c r="K17" s="127"/>
      <c r="L17" s="127"/>
      <c r="M17" s="127"/>
      <c r="N17" s="127"/>
    </row>
    <row r="18" spans="1:31" ht="15.75" customHeight="1" x14ac:dyDescent="0.3">
      <c r="B18" s="138"/>
      <c r="C18" s="205" t="s">
        <v>71</v>
      </c>
      <c r="D18" s="198"/>
      <c r="E18" s="199"/>
      <c r="F18" s="202"/>
      <c r="G18" s="127"/>
      <c r="H18" s="127"/>
      <c r="I18" s="127"/>
      <c r="J18" s="127"/>
      <c r="K18" s="127"/>
      <c r="L18" s="127"/>
      <c r="M18" s="127"/>
      <c r="N18" s="127"/>
    </row>
    <row r="19" spans="1:31" ht="15.75" customHeight="1" x14ac:dyDescent="0.3">
      <c r="B19" s="138"/>
      <c r="C19" s="206" t="s">
        <v>72</v>
      </c>
      <c r="D19" s="200"/>
      <c r="E19" s="201"/>
      <c r="F19" s="202"/>
      <c r="G19" s="127"/>
      <c r="H19" s="127"/>
      <c r="I19" s="127"/>
      <c r="J19" s="127"/>
      <c r="K19" s="127"/>
      <c r="L19" s="127"/>
      <c r="M19" s="127"/>
      <c r="N19" s="127"/>
    </row>
    <row r="20" spans="1:31" ht="15.75" customHeight="1" x14ac:dyDescent="0.3">
      <c r="B20" s="137" t="s">
        <v>103</v>
      </c>
      <c r="C20" s="134"/>
      <c r="D20" s="134"/>
      <c r="E20" s="135"/>
      <c r="F20" s="203"/>
      <c r="G20" s="127"/>
      <c r="H20" s="127"/>
      <c r="I20" s="127"/>
      <c r="J20" s="127"/>
      <c r="K20" s="127"/>
      <c r="L20" s="127"/>
      <c r="M20" s="127"/>
      <c r="N20" s="127"/>
    </row>
    <row r="21" spans="1:31" ht="15.75" customHeight="1" x14ac:dyDescent="0.3">
      <c r="B21" s="131"/>
      <c r="C21" s="205" t="s">
        <v>104</v>
      </c>
      <c r="D21" s="198"/>
      <c r="E21" s="199"/>
      <c r="F21" s="202"/>
      <c r="G21" s="127"/>
      <c r="H21" s="127"/>
      <c r="I21" s="127"/>
      <c r="J21" s="127"/>
      <c r="K21" s="127"/>
      <c r="L21" s="127"/>
      <c r="M21" s="127"/>
      <c r="N21" s="127"/>
    </row>
    <row r="22" spans="1:31" ht="15.75" customHeight="1" x14ac:dyDescent="0.3">
      <c r="B22" s="131"/>
      <c r="C22" s="205" t="s">
        <v>73</v>
      </c>
      <c r="D22" s="198"/>
      <c r="E22" s="199"/>
      <c r="F22" s="202"/>
      <c r="G22" s="127"/>
      <c r="H22" s="127"/>
      <c r="I22" s="127"/>
      <c r="J22" s="127"/>
      <c r="K22" s="127"/>
      <c r="L22" s="127"/>
      <c r="M22" s="127"/>
      <c r="N22" s="127"/>
    </row>
    <row r="23" spans="1:31" ht="15.75" customHeight="1" x14ac:dyDescent="0.3">
      <c r="B23" s="131"/>
      <c r="C23" s="205" t="s">
        <v>74</v>
      </c>
      <c r="D23" s="198"/>
      <c r="E23" s="199"/>
      <c r="F23" s="202"/>
      <c r="G23" s="127"/>
      <c r="H23" s="127"/>
      <c r="I23" s="127"/>
      <c r="J23" s="127"/>
      <c r="K23" s="127"/>
      <c r="L23" s="127"/>
      <c r="M23" s="127"/>
      <c r="N23" s="127"/>
    </row>
    <row r="24" spans="1:31" ht="15.75" customHeight="1" x14ac:dyDescent="0.3">
      <c r="B24" s="132"/>
      <c r="C24" s="204" t="s">
        <v>72</v>
      </c>
      <c r="D24" s="196"/>
      <c r="E24" s="197"/>
      <c r="F24" s="202"/>
      <c r="G24" s="127"/>
      <c r="H24" s="127"/>
      <c r="I24" s="127"/>
      <c r="J24" s="127"/>
      <c r="K24" s="127"/>
      <c r="L24" s="127"/>
      <c r="M24" s="127"/>
      <c r="N24" s="127"/>
    </row>
    <row r="25" spans="1:31" ht="15.75" customHeight="1" x14ac:dyDescent="0.3">
      <c r="B25" s="127"/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</row>
    <row r="26" spans="1:31" ht="24" customHeight="1" x14ac:dyDescent="0.3">
      <c r="B26" s="345" t="s">
        <v>209</v>
      </c>
      <c r="C26" s="345"/>
      <c r="D26" s="345"/>
      <c r="E26" s="345"/>
      <c r="F26" s="345"/>
      <c r="G26" s="345"/>
      <c r="H26" s="345"/>
      <c r="I26" s="347" t="s">
        <v>210</v>
      </c>
      <c r="J26" s="348"/>
      <c r="K26" s="348"/>
      <c r="L26" s="348"/>
      <c r="M26" s="349"/>
      <c r="N26" s="180" t="s">
        <v>41</v>
      </c>
    </row>
    <row r="27" spans="1:31" s="105" customFormat="1" ht="31.2" customHeight="1" x14ac:dyDescent="0.25">
      <c r="A27" s="96"/>
      <c r="B27" s="182" t="s">
        <v>67</v>
      </c>
      <c r="C27" s="180" t="s">
        <v>218</v>
      </c>
      <c r="D27" s="181" t="s">
        <v>69</v>
      </c>
      <c r="E27" s="181" t="s">
        <v>107</v>
      </c>
      <c r="F27" s="182" t="s">
        <v>75</v>
      </c>
      <c r="G27" s="182" t="s">
        <v>99</v>
      </c>
      <c r="H27" s="182" t="s">
        <v>87</v>
      </c>
      <c r="I27" s="183" t="s">
        <v>218</v>
      </c>
      <c r="J27" s="183" t="s">
        <v>76</v>
      </c>
      <c r="K27" s="184" t="s">
        <v>77</v>
      </c>
      <c r="L27" s="183" t="s">
        <v>68</v>
      </c>
      <c r="M27" s="183" t="s">
        <v>240</v>
      </c>
      <c r="N27" s="180" t="s">
        <v>78</v>
      </c>
      <c r="O27" s="100"/>
      <c r="P27" s="100"/>
      <c r="Q27" s="100"/>
      <c r="R27" s="100"/>
      <c r="S27" s="100"/>
      <c r="T27" s="100"/>
      <c r="U27" s="100"/>
      <c r="V27" s="100"/>
      <c r="W27" s="103"/>
      <c r="X27" s="103"/>
      <c r="Y27" s="103"/>
      <c r="Z27" s="103"/>
      <c r="AA27" s="103"/>
      <c r="AB27" s="103"/>
      <c r="AC27" s="103"/>
      <c r="AD27" s="103"/>
      <c r="AE27" s="103"/>
    </row>
    <row r="28" spans="1:31" s="97" customFormat="1" ht="15" x14ac:dyDescent="0.25">
      <c r="B28" s="215">
        <f>$B29+1</f>
        <v>4</v>
      </c>
      <c r="C28" s="139"/>
      <c r="D28" s="98"/>
      <c r="E28" s="139"/>
      <c r="F28" s="99"/>
      <c r="G28" s="99"/>
      <c r="H28" s="139"/>
      <c r="I28" s="139"/>
      <c r="J28" s="165"/>
      <c r="K28" s="166"/>
      <c r="L28" s="216"/>
      <c r="M28" s="98"/>
      <c r="N28" s="98"/>
      <c r="O28" s="101"/>
      <c r="P28" s="102"/>
      <c r="Q28" s="102"/>
      <c r="R28" s="102"/>
      <c r="S28" s="102"/>
      <c r="T28" s="102"/>
      <c r="U28" s="102"/>
      <c r="V28" s="102"/>
      <c r="W28" s="104"/>
      <c r="X28" s="104"/>
      <c r="Y28" s="104"/>
      <c r="Z28" s="104"/>
      <c r="AA28" s="104"/>
      <c r="AB28" s="104"/>
      <c r="AC28" s="104"/>
      <c r="AD28" s="104"/>
      <c r="AE28" s="104"/>
    </row>
    <row r="29" spans="1:31" s="97" customFormat="1" ht="15" x14ac:dyDescent="0.25">
      <c r="B29" s="215">
        <f>$B30+1</f>
        <v>3</v>
      </c>
      <c r="C29" s="139"/>
      <c r="D29" s="98"/>
      <c r="E29" s="139"/>
      <c r="F29" s="99"/>
      <c r="G29" s="99"/>
      <c r="H29" s="139"/>
      <c r="I29" s="139"/>
      <c r="J29" s="165"/>
      <c r="K29" s="166"/>
      <c r="L29" s="216"/>
      <c r="M29" s="98"/>
      <c r="N29" s="98"/>
      <c r="O29" s="101"/>
      <c r="P29" s="102"/>
      <c r="Q29" s="102"/>
      <c r="R29" s="102"/>
      <c r="S29" s="102"/>
      <c r="T29" s="102"/>
      <c r="U29" s="102"/>
      <c r="V29" s="102"/>
      <c r="W29" s="104"/>
      <c r="X29" s="104"/>
      <c r="Y29" s="104"/>
      <c r="Z29" s="104"/>
      <c r="AA29" s="104"/>
      <c r="AB29" s="104"/>
      <c r="AC29" s="104"/>
      <c r="AD29" s="104"/>
      <c r="AE29" s="104"/>
    </row>
    <row r="30" spans="1:31" s="97" customFormat="1" ht="15" x14ac:dyDescent="0.25">
      <c r="B30" s="215">
        <f>$B31+1</f>
        <v>2</v>
      </c>
      <c r="C30" s="139"/>
      <c r="D30" s="98"/>
      <c r="E30" s="139"/>
      <c r="F30" s="99"/>
      <c r="G30" s="99"/>
      <c r="H30" s="139"/>
      <c r="I30" s="139"/>
      <c r="J30" s="165"/>
      <c r="K30" s="166"/>
      <c r="L30" s="216"/>
      <c r="M30" s="98"/>
      <c r="N30" s="98"/>
      <c r="O30" s="101"/>
      <c r="P30" s="102"/>
      <c r="Q30" s="102"/>
      <c r="R30" s="102"/>
      <c r="S30" s="102"/>
      <c r="T30" s="102"/>
      <c r="U30" s="102"/>
      <c r="V30" s="102"/>
      <c r="W30" s="104"/>
      <c r="X30" s="104"/>
      <c r="Y30" s="104"/>
      <c r="Z30" s="104"/>
      <c r="AA30" s="104"/>
      <c r="AB30" s="104"/>
      <c r="AC30" s="104"/>
      <c r="AD30" s="104"/>
      <c r="AE30" s="104"/>
    </row>
    <row r="31" spans="1:31" s="97" customFormat="1" ht="15" x14ac:dyDescent="0.25">
      <c r="B31" s="215">
        <v>1</v>
      </c>
      <c r="C31" s="139"/>
      <c r="D31" s="98"/>
      <c r="E31" s="139"/>
      <c r="F31" s="99"/>
      <c r="G31" s="99"/>
      <c r="H31" s="139"/>
      <c r="I31" s="139"/>
      <c r="J31" s="217"/>
      <c r="K31" s="218"/>
      <c r="L31" s="219"/>
      <c r="M31" s="98"/>
      <c r="N31" s="98"/>
      <c r="O31" s="101"/>
      <c r="P31" s="102"/>
      <c r="Q31" s="102"/>
      <c r="R31" s="102"/>
      <c r="S31" s="102"/>
      <c r="T31" s="102"/>
      <c r="U31" s="102"/>
      <c r="V31" s="102"/>
      <c r="W31" s="104"/>
      <c r="X31" s="104"/>
      <c r="Y31" s="104"/>
      <c r="Z31" s="104"/>
      <c r="AA31" s="104"/>
      <c r="AB31" s="104"/>
      <c r="AC31" s="104"/>
      <c r="AD31" s="104"/>
      <c r="AE31" s="104"/>
    </row>
  </sheetData>
  <sheetProtection selectLockedCells="1"/>
  <customSheetViews>
    <customSheetView guid="{352E0FD3-3DC0-4799-BF18-7F7B8D094994}" showGridLines="0" fitToPage="1">
      <selection activeCell="F3" sqref="F3"/>
      <pageMargins left="0.39370078740157483" right="0.39370078740157483" top="0.78740157480314965" bottom="0.78740157480314965" header="0.39370078740157483" footer="0.39370078740157483"/>
      <printOptions horizontalCentered="1"/>
      <pageSetup paperSize="9" scale="76" orientation="landscape" r:id="rId1"/>
      <headerFooter alignWithMargins="0">
        <oddFooter>&amp;L&amp;"Trebuchet MS,Gras"&amp;12Onglet &amp;A &amp;P / &amp;N&amp;C&amp;"Trebuchet MS,Italique"&amp;12- Ce document est la propriété du groupe SII -&amp;R&amp;"Trebuchet MS,Gras"&amp;12&amp;F</oddFooter>
      </headerFooter>
    </customSheetView>
  </customSheetViews>
  <mergeCells count="10">
    <mergeCell ref="B26:H26"/>
    <mergeCell ref="D3:I5"/>
    <mergeCell ref="B2:B5"/>
    <mergeCell ref="B12:N12"/>
    <mergeCell ref="I26:M26"/>
    <mergeCell ref="B1:J1"/>
    <mergeCell ref="B11:J11"/>
    <mergeCell ref="B7:J7"/>
    <mergeCell ref="J8:K8"/>
    <mergeCell ref="J10:K10"/>
  </mergeCells>
  <conditionalFormatting sqref="K28:K31">
    <cfRule type="expression" dxfId="3" priority="9" stopIfTrue="1">
      <formula>J28="question"</formula>
    </cfRule>
    <cfRule type="expression" dxfId="2" priority="10" stopIfTrue="1">
      <formula>J28="rejetée"</formula>
    </cfRule>
  </conditionalFormatting>
  <conditionalFormatting sqref="B28:N31">
    <cfRule type="expression" dxfId="1" priority="1">
      <formula>$N28="Non"</formula>
    </cfRule>
    <cfRule type="expression" dxfId="0" priority="2">
      <formula>$N28=""</formula>
    </cfRule>
  </conditionalFormatting>
  <dataValidations xWindow="1039" yWindow="789" count="16">
    <dataValidation allowBlank="1" showInputMessage="1" showErrorMessage="1" promptTitle="Cellule &quot;Localisation&quot;" prompt="Identification / Emplacement de la remarque dans le document relu (§, p., etc.)" sqref="D27"/>
    <dataValidation allowBlank="1" showInputMessage="1" showErrorMessage="1" promptTitle="A renseigner par le rédacteur :" prompt="A traiter : cette remarque doit être prise en compte_x000a_Rejetée : la remarque ne doit pas être prise en compet _x000a_Question : cette remarque nécessite d'obtenir une information complémentaire" sqref="J27"/>
    <dataValidation allowBlank="1" showInputMessage="1" showErrorMessage="1" prompt="A renseigner par le rédacteur / CdP" sqref="K27"/>
    <dataValidation allowBlank="1" showInputMessage="1" showErrorMessage="1" promptTitle="Réalisé :" prompt="A remplir par la personne qui fait la correction. _x000a__x000a_! Attention, le validateur et l'approbateur ne peuvent pas être la même personne !" sqref="M27"/>
    <dataValidation allowBlank="1" showInputMessage="1" showErrorMessage="1" promptTitle="Vérifié (oui), Pas vérifié (non)" prompt="Chaque remarque doit être au vert (oui) pour que le livrable soit prêt à être livré. L'approbateur ou le relecteur à l'autorité pour le faire." sqref="N27"/>
    <dataValidation allowBlank="1" showInputMessage="1" showErrorMessage="1" promptTitle="Type" prompt="Choisissez dans la liste déroulante s'il s'agit d'une remarque sur le fond ou sur la forme._x000a_Reférez vous aux crières de lecture en en-tête de cette fiche de relecture pairs" sqref="G27"/>
    <dataValidation allowBlank="1" showInputMessage="1" showErrorMessage="1" promptTitle="Sévérité" prompt="- Majeur = Obligatoire avec impact critique_x000a_- Moyen = Obligatoire avec impact non critique mais génant_x000a_- Mineur = Obligatoire mais sans impact produit_x000a_- Pour info = Facultatif" sqref="H27"/>
    <dataValidation allowBlank="1" showInputMessage="1" showErrorMessage="1" promptTitle="Pair/Validateur" prompt="Sélectionnez vos initiales parmis la liste" sqref="C27 I27"/>
    <dataValidation allowBlank="1" showInputMessage="1" showErrorMessage="1" promptTitle="Documents applicables" prompt="Si le commentaire est lié à un document spécifique, renseigner l'onglet &quot;Paramètres&quot; puis sélectionner dans la liste le document correspondant" sqref="E27"/>
    <dataValidation type="list" allowBlank="1" showInputMessage="1" showErrorMessage="1" sqref="WVS28:WVS31 WLW28:WLW31 WCA28:WCA31 VSE28:VSE31 VII28:VII31 UYM28:UYM31 UOQ28:UOQ31 UEU28:UEU31 TUY28:TUY31 TLC28:TLC31 TBG28:TBG31 SRK28:SRK31 SHO28:SHO31 RXS28:RXS31 RNW28:RNW31 REA28:REA31 QUE28:QUE31 QKI28:QKI31 QAM28:QAM31 PQQ28:PQQ31 PGU28:PGU31 OWY28:OWY31 ONC28:ONC31 ODG28:ODG31 NTK28:NTK31 NJO28:NJO31 MZS28:MZS31 MPW28:MPW31 MGA28:MGA31 LWE28:LWE31 LMI28:LMI31 LCM28:LCM31 KSQ28:KSQ31 KIU28:KIU31 JYY28:JYY31 JPC28:JPC31 JFG28:JFG31 IVK28:IVK31 ILO28:ILO31 IBS28:IBS31 HRW28:HRW31 HIA28:HIA31 GYE28:GYE31 GOI28:GOI31 GEM28:GEM31 FUQ28:FUQ31 FKU28:FKU31 FAY28:FAY31 ERC28:ERC31 EHG28:EHG31 DXK28:DXK31 DNO28:DNO31 DDS28:DDS31 CTW28:CTW31 CKA28:CKA31 CAE28:CAE31 BQI28:BQI31 BGM28:BGM31 AWQ28:AWQ31 AMU28:AMU31 ACY28:ACY31 TC28:TC31 JG28:JG31 J28:J31">
      <formula1>"à traiter,rejetée,question"</formula1>
    </dataValidation>
    <dataValidation type="list" allowBlank="1" showInputMessage="1" showErrorMessage="1" sqref="WVU28:WVU31 WCC28:WCC31 VSG28:VSG31 VIK28:VIK31 UYO28:UYO31 UOS28:UOS31 UEW28:UEW31 TVA28:TVA31 TLE28:TLE31 TBI28:TBI31 SRM28:SRM31 SHQ28:SHQ31 RXU28:RXU31 RNY28:RNY31 REC28:REC31 QUG28:QUG31 QKK28:QKK31 QAO28:QAO31 PQS28:PQS31 PGW28:PGW31 OXA28:OXA31 ONE28:ONE31 ODI28:ODI31 NTM28:NTM31 NJQ28:NJQ31 MZU28:MZU31 MPY28:MPY31 MGC28:MGC31 LWG28:LWG31 LMK28:LMK31 LCO28:LCO31 KSS28:KSS31 KIW28:KIW31 JZA28:JZA31 JPE28:JPE31 JFI28:JFI31 IVM28:IVM31 ILQ28:ILQ31 IBU28:IBU31 HRY28:HRY31 HIC28:HIC31 GYG28:GYG31 GOK28:GOK31 GEO28:GEO31 FUS28:FUS31 FKW28:FKW31 FBA28:FBA31 ERE28:ERE31 EHI28:EHI31 DXM28:DXM31 DNQ28:DNQ31 DDU28:DDU31 CTY28:CTY31 CKC28:CKC31 CAG28:CAG31 BQK28:BQK31 BGO28:BGO31 AWS28:AWS31 AMW28:AMW31 ADA28:ADA31 TE28:TE31 JI28:JI31 WLY28:WLY31 M28:N31">
      <formula1>"Non,Oui"</formula1>
    </dataValidation>
    <dataValidation type="list" allowBlank="1" showInputMessage="1" showErrorMessage="1" sqref="G28:G31">
      <formula1>"Forme,Fond"</formula1>
    </dataValidation>
    <dataValidation type="list" allowBlank="1" showInputMessage="1" showErrorMessage="1" sqref="H28:H31">
      <formula1>"Majeure,Moyenne,Mineure,Pour info"</formula1>
    </dataValidation>
    <dataValidation allowBlank="1" showInputMessage="1" showErrorMessage="1" promptTitle="Consigne :" prompt="Insérer un lien hypertexte vers un dossier contenant des checklists spécifiques au projet (par exemple : une liste de contrôle code). " sqref="D28:D31"/>
    <dataValidation allowBlank="1" showInputMessage="1" showErrorMessage="1" promptTitle="Remarque" prompt="Inscrivez votre remarque._x000a_Bonne pratique : mettre une seule idée par ligne_x000a_✅ Texte sans faute d'ortohographe_x000a_✅ Texte conforme au modèle C++_x000a_❌ Texte sans fautes *et* conforme au modèle" sqref="F27:F503"/>
    <dataValidation allowBlank="1" showInputMessage="1" showErrorMessage="1" promptTitle="Temps passé :" prompt="Indiquer le temps passé pour la prise en compte des commentaires._x000a_0:15 = 15 minutes / 2:45 = 2 heures et 45 minutes_x000a_Pour tout commentaire inférieur à 15 minutes, choisir &quot;0,01&quot;._x000a_En cas de doute, arrondir au temps inférieur." sqref="L27"/>
  </dataValidations>
  <printOptions horizontalCentered="1"/>
  <pageMargins left="0.39370078740157483" right="0.39370078740157483" top="0.78740157480314965" bottom="0.78740157480314965" header="0.39370078740157483" footer="0.39370078740157483"/>
  <pageSetup paperSize="9" scale="76" orientation="landscape" r:id="rId2"/>
  <headerFooter alignWithMargins="0">
    <oddFooter>&amp;L&amp;"Trebuchet MS,Gras"&amp;12Onglet &amp;A &amp;P / &amp;N&amp;C&amp;"Trebuchet MS,Italique"&amp;12- Ce document est la propriété du groupe SII -&amp;R&amp;"Trebuchet MS,Gras"&amp;12&amp;F</oddFooter>
  </headerFooter>
  <ignoredErrors>
    <ignoredError sqref="B29:B30" unlockedFormula="1"/>
  </ignoredErrors>
  <drawing r:id="rId3"/>
  <legacyDrawing r:id="rId4"/>
  <controls>
    <mc:AlternateContent xmlns:mc="http://schemas.openxmlformats.org/markup-compatibility/2006">
      <mc:Choice Requires="x14">
        <control shapeId="500743" r:id="rId5" name="TextBox7">
          <controlPr locked="0" defaultSize="0" autoLine="0" autoPict="0" r:id="rId6">
            <anchor moveWithCells="1" sizeWithCells="1">
              <from>
                <xdr:col>8</xdr:col>
                <xdr:colOff>1173480</xdr:colOff>
                <xdr:row>12</xdr:row>
                <xdr:rowOff>0</xdr:rowOff>
              </from>
              <to>
                <xdr:col>9</xdr:col>
                <xdr:colOff>7620</xdr:colOff>
                <xdr:row>12</xdr:row>
                <xdr:rowOff>0</xdr:rowOff>
              </to>
            </anchor>
          </controlPr>
        </control>
      </mc:Choice>
      <mc:Fallback>
        <control shapeId="500743" r:id="rId5" name="TextBox7"/>
      </mc:Fallback>
    </mc:AlternateContent>
    <mc:AlternateContent xmlns:mc="http://schemas.openxmlformats.org/markup-compatibility/2006">
      <mc:Choice Requires="x14">
        <control shapeId="500742" r:id="rId7" name="TextBox6">
          <controlPr locked="0" defaultSize="0" autoLine="0" autoPict="0" r:id="rId8">
            <anchor moveWithCells="1" sizeWithCells="1">
              <from>
                <xdr:col>5</xdr:col>
                <xdr:colOff>990600</xdr:colOff>
                <xdr:row>12</xdr:row>
                <xdr:rowOff>0</xdr:rowOff>
              </from>
              <to>
                <xdr:col>8</xdr:col>
                <xdr:colOff>1181100</xdr:colOff>
                <xdr:row>12</xdr:row>
                <xdr:rowOff>0</xdr:rowOff>
              </to>
            </anchor>
          </controlPr>
        </control>
      </mc:Choice>
      <mc:Fallback>
        <control shapeId="500742" r:id="rId7" name="TextBox6"/>
      </mc:Fallback>
    </mc:AlternateContent>
    <mc:AlternateContent xmlns:mc="http://schemas.openxmlformats.org/markup-compatibility/2006">
      <mc:Choice Requires="x14">
        <control shapeId="500741" r:id="rId9" name="TextBox5">
          <controlPr locked="0" defaultSize="0" autoLine="0" autoPict="0" r:id="rId10">
            <anchor moveWithCells="1" siz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1028700</xdr:colOff>
                <xdr:row>12</xdr:row>
                <xdr:rowOff>0</xdr:rowOff>
              </to>
            </anchor>
          </controlPr>
        </control>
      </mc:Choice>
      <mc:Fallback>
        <control shapeId="500741" r:id="rId9" name="TextBox5"/>
      </mc:Fallback>
    </mc:AlternateContent>
    <mc:AlternateContent xmlns:mc="http://schemas.openxmlformats.org/markup-compatibility/2006">
      <mc:Choice Requires="x14">
        <control shapeId="500740" r:id="rId11" name="TextBox4">
          <controlPr locked="0" defaultSize="0" autoLine="0" autoPict="0" r:id="rId12">
            <anchor moveWithCells="1" sizeWithCells="1">
              <from>
                <xdr:col>3</xdr:col>
                <xdr:colOff>220980</xdr:colOff>
                <xdr:row>12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00740" r:id="rId11" name="TextBox4"/>
      </mc:Fallback>
    </mc:AlternateContent>
    <mc:AlternateContent xmlns:mc="http://schemas.openxmlformats.org/markup-compatibility/2006">
      <mc:Choice Requires="x14">
        <control shapeId="500739" r:id="rId13" name="TextBox3">
          <controlPr locked="0" defaultSize="0" autoLine="0" autoPict="0" r:id="rId14">
            <anchor moveWithCells="1" sizeWithCells="1">
              <from>
                <xdr:col>1</xdr:col>
                <xdr:colOff>0</xdr:colOff>
                <xdr:row>12</xdr:row>
                <xdr:rowOff>0</xdr:rowOff>
              </from>
              <to>
                <xdr:col>3</xdr:col>
                <xdr:colOff>220980</xdr:colOff>
                <xdr:row>12</xdr:row>
                <xdr:rowOff>0</xdr:rowOff>
              </to>
            </anchor>
          </controlPr>
        </control>
      </mc:Choice>
      <mc:Fallback>
        <control shapeId="500739" r:id="rId13" name="TextBox3"/>
      </mc:Fallback>
    </mc:AlternateContent>
    <mc:AlternateContent xmlns:mc="http://schemas.openxmlformats.org/markup-compatibility/2006">
      <mc:Choice Requires="x14">
        <control shapeId="500738" r:id="rId15" name="TextBox2">
          <controlPr locked="0" defaultSize="0" autoLine="0" r:id="rId16">
            <anchor moveWithCells="1" siz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00738" r:id="rId15" name="TextBox2"/>
      </mc:Fallback>
    </mc:AlternateContent>
    <mc:AlternateContent xmlns:mc="http://schemas.openxmlformats.org/markup-compatibility/2006">
      <mc:Choice Requires="x14">
        <control shapeId="500737" r:id="rId17" name="TextBox1">
          <controlPr locked="0" defaultSize="0" autoLine="0" r:id="rId16">
            <anchor moveWithCells="1" sizeWithCells="1">
              <from>
                <xdr:col>1</xdr:col>
                <xdr:colOff>0</xdr:colOff>
                <xdr:row>12</xdr:row>
                <xdr:rowOff>0</xdr:rowOff>
              </from>
              <to>
                <xdr:col>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00737" r:id="rId17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39" yWindow="789" count="3">
        <x14:dataValidation type="list" allowBlank="1" showInputMessage="1" showErrorMessage="1">
          <x14:formula1>
            <xm:f>Feuil1!$A$3:$A$97</xm:f>
          </x14:formula1>
          <xm:sqref>L28:L31</xm:sqref>
        </x14:dataValidation>
        <x14:dataValidation type="list" allowBlank="1" showInputMessage="1" showErrorMessage="1">
          <x14:formula1>
            <xm:f>PARAMETRES!$B$62:$B$65</xm:f>
          </x14:formula1>
          <xm:sqref>E28:E31</xm:sqref>
        </x14:dataValidation>
        <x14:dataValidation type="list" allowBlank="1" showInputMessage="1" showErrorMessage="1">
          <x14:formula1>
            <xm:f>PARAMETRES!$D$47:$D$49</xm:f>
          </x14:formula1>
          <xm:sqref>I28:I31 C28:C31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97"/>
  <sheetViews>
    <sheetView workbookViewId="0">
      <selection activeCell="D9" sqref="D9"/>
    </sheetView>
  </sheetViews>
  <sheetFormatPr baseColWidth="10" defaultRowHeight="13.2" x14ac:dyDescent="0.25"/>
  <cols>
    <col min="1" max="1" width="27.109375" style="147" bestFit="1" customWidth="1"/>
    <col min="2" max="2" width="8.44140625" bestFit="1" customWidth="1"/>
  </cols>
  <sheetData>
    <row r="1" spans="1:5" x14ac:dyDescent="0.25">
      <c r="A1" s="146" t="s">
        <v>112</v>
      </c>
      <c r="B1" s="145" t="s">
        <v>208</v>
      </c>
    </row>
    <row r="2" spans="1:5" x14ac:dyDescent="0.25">
      <c r="A2" s="146">
        <v>6.9444444444444447E-4</v>
      </c>
      <c r="B2" s="145" t="s">
        <v>244</v>
      </c>
    </row>
    <row r="3" spans="1:5" x14ac:dyDescent="0.25">
      <c r="A3" s="147">
        <v>1.0416666666666666E-2</v>
      </c>
      <c r="B3" s="145" t="s">
        <v>113</v>
      </c>
      <c r="E3" s="147">
        <f>SUM(A3:A9)</f>
        <v>0.2916666666666668</v>
      </c>
    </row>
    <row r="4" spans="1:5" x14ac:dyDescent="0.25">
      <c r="A4" s="147">
        <v>2.0833333333333332E-2</v>
      </c>
      <c r="B4" s="145" t="s">
        <v>114</v>
      </c>
    </row>
    <row r="5" spans="1:5" x14ac:dyDescent="0.25">
      <c r="A5" s="147">
        <v>3.125E-2</v>
      </c>
      <c r="B5" s="145" t="s">
        <v>115</v>
      </c>
    </row>
    <row r="6" spans="1:5" x14ac:dyDescent="0.25">
      <c r="A6" s="147">
        <v>4.1666666666666699E-2</v>
      </c>
      <c r="B6" s="145" t="s">
        <v>116</v>
      </c>
    </row>
    <row r="7" spans="1:5" x14ac:dyDescent="0.25">
      <c r="A7" s="147">
        <v>5.2083333333333398E-2</v>
      </c>
      <c r="B7" s="145" t="s">
        <v>117</v>
      </c>
    </row>
    <row r="8" spans="1:5" x14ac:dyDescent="0.25">
      <c r="A8" s="147">
        <v>6.25E-2</v>
      </c>
      <c r="B8" s="145" t="s">
        <v>118</v>
      </c>
    </row>
    <row r="9" spans="1:5" x14ac:dyDescent="0.25">
      <c r="A9" s="147">
        <v>7.2916666666666699E-2</v>
      </c>
      <c r="B9" s="145" t="s">
        <v>119</v>
      </c>
    </row>
    <row r="10" spans="1:5" x14ac:dyDescent="0.25">
      <c r="A10" s="147">
        <v>8.3333333333333398E-2</v>
      </c>
      <c r="B10" s="145" t="s">
        <v>120</v>
      </c>
    </row>
    <row r="11" spans="1:5" x14ac:dyDescent="0.25">
      <c r="A11" s="147">
        <v>9.375E-2</v>
      </c>
      <c r="B11" s="145" t="s">
        <v>121</v>
      </c>
    </row>
    <row r="12" spans="1:5" x14ac:dyDescent="0.25">
      <c r="A12" s="147">
        <v>0.104166666666667</v>
      </c>
      <c r="B12" s="145" t="s">
        <v>122</v>
      </c>
    </row>
    <row r="13" spans="1:5" x14ac:dyDescent="0.25">
      <c r="A13" s="147">
        <v>0.11458333333333399</v>
      </c>
      <c r="B13" s="145" t="s">
        <v>123</v>
      </c>
    </row>
    <row r="14" spans="1:5" x14ac:dyDescent="0.25">
      <c r="A14" s="147">
        <v>0.125</v>
      </c>
      <c r="B14" s="145" t="s">
        <v>124</v>
      </c>
    </row>
    <row r="15" spans="1:5" x14ac:dyDescent="0.25">
      <c r="A15" s="147">
        <v>0.13541666666666699</v>
      </c>
      <c r="B15" s="145" t="s">
        <v>125</v>
      </c>
    </row>
    <row r="16" spans="1:5" x14ac:dyDescent="0.25">
      <c r="A16" s="147">
        <v>0.14583333333333401</v>
      </c>
      <c r="B16" s="145" t="s">
        <v>126</v>
      </c>
    </row>
    <row r="17" spans="1:2" x14ac:dyDescent="0.25">
      <c r="A17" s="147">
        <v>0.15625</v>
      </c>
      <c r="B17" s="145" t="s">
        <v>127</v>
      </c>
    </row>
    <row r="18" spans="1:2" x14ac:dyDescent="0.25">
      <c r="A18" s="147">
        <v>0.16666666666666699</v>
      </c>
      <c r="B18" s="145" t="s">
        <v>128</v>
      </c>
    </row>
    <row r="19" spans="1:2" x14ac:dyDescent="0.25">
      <c r="A19" s="147">
        <v>0.17708333333333401</v>
      </c>
      <c r="B19" s="145" t="s">
        <v>129</v>
      </c>
    </row>
    <row r="20" spans="1:2" x14ac:dyDescent="0.25">
      <c r="A20" s="147">
        <v>0.1875</v>
      </c>
      <c r="B20" s="145" t="s">
        <v>130</v>
      </c>
    </row>
    <row r="21" spans="1:2" x14ac:dyDescent="0.25">
      <c r="A21" s="147">
        <v>0.19791666666666699</v>
      </c>
      <c r="B21" s="145" t="s">
        <v>131</v>
      </c>
    </row>
    <row r="22" spans="1:2" x14ac:dyDescent="0.25">
      <c r="A22" s="147">
        <v>0.20833333333333401</v>
      </c>
      <c r="B22" s="145" t="s">
        <v>132</v>
      </c>
    </row>
    <row r="23" spans="1:2" x14ac:dyDescent="0.25">
      <c r="A23" s="147">
        <v>0.21875</v>
      </c>
      <c r="B23" s="145" t="s">
        <v>133</v>
      </c>
    </row>
    <row r="24" spans="1:2" x14ac:dyDescent="0.25">
      <c r="A24" s="147">
        <v>0.22916666666666699</v>
      </c>
      <c r="B24" s="145" t="s">
        <v>134</v>
      </c>
    </row>
    <row r="25" spans="1:2" x14ac:dyDescent="0.25">
      <c r="A25" s="147">
        <v>0.23958333333333401</v>
      </c>
      <c r="B25" s="145" t="s">
        <v>135</v>
      </c>
    </row>
    <row r="26" spans="1:2" x14ac:dyDescent="0.25">
      <c r="A26" s="147">
        <v>0.25</v>
      </c>
      <c r="B26" s="145" t="s">
        <v>136</v>
      </c>
    </row>
    <row r="27" spans="1:2" x14ac:dyDescent="0.25">
      <c r="A27" s="147">
        <v>0.26041666666666702</v>
      </c>
      <c r="B27" s="145" t="s">
        <v>137</v>
      </c>
    </row>
    <row r="28" spans="1:2" x14ac:dyDescent="0.25">
      <c r="A28" s="147">
        <v>0.27083333333333398</v>
      </c>
      <c r="B28" s="145" t="s">
        <v>138</v>
      </c>
    </row>
    <row r="29" spans="1:2" x14ac:dyDescent="0.25">
      <c r="A29" s="147">
        <v>0.28125</v>
      </c>
      <c r="B29" s="145" t="s">
        <v>139</v>
      </c>
    </row>
    <row r="30" spans="1:2" x14ac:dyDescent="0.25">
      <c r="A30" s="147">
        <v>0.29166666666666702</v>
      </c>
      <c r="B30" s="145" t="s">
        <v>140</v>
      </c>
    </row>
    <row r="31" spans="1:2" x14ac:dyDescent="0.25">
      <c r="A31" s="147">
        <v>0.30208333333333398</v>
      </c>
      <c r="B31" s="145" t="s">
        <v>141</v>
      </c>
    </row>
    <row r="32" spans="1:2" x14ac:dyDescent="0.25">
      <c r="A32" s="147">
        <v>0.3125</v>
      </c>
      <c r="B32" s="145" t="s">
        <v>142</v>
      </c>
    </row>
    <row r="33" spans="1:4" x14ac:dyDescent="0.25">
      <c r="A33" s="147">
        <v>0.32291666666666702</v>
      </c>
      <c r="B33" s="145" t="s">
        <v>143</v>
      </c>
    </row>
    <row r="34" spans="1:4" x14ac:dyDescent="0.25">
      <c r="A34" s="147">
        <v>0.33333333333333398</v>
      </c>
      <c r="B34" s="145" t="s">
        <v>144</v>
      </c>
    </row>
    <row r="35" spans="1:4" x14ac:dyDescent="0.25">
      <c r="A35" s="147">
        <v>0.34375</v>
      </c>
      <c r="B35" s="145" t="s">
        <v>145</v>
      </c>
      <c r="D35" s="144"/>
    </row>
    <row r="36" spans="1:4" x14ac:dyDescent="0.25">
      <c r="A36" s="147">
        <v>0.35416666666666702</v>
      </c>
      <c r="B36" s="145" t="s">
        <v>146</v>
      </c>
    </row>
    <row r="37" spans="1:4" x14ac:dyDescent="0.25">
      <c r="A37" s="147">
        <v>0.36458333333333398</v>
      </c>
      <c r="B37" s="145" t="s">
        <v>147</v>
      </c>
    </row>
    <row r="38" spans="1:4" x14ac:dyDescent="0.25">
      <c r="A38" s="147">
        <v>0.375</v>
      </c>
      <c r="B38" s="145" t="s">
        <v>148</v>
      </c>
    </row>
    <row r="39" spans="1:4" x14ac:dyDescent="0.25">
      <c r="A39" s="147">
        <v>0.38541666666666702</v>
      </c>
      <c r="B39" s="145" t="s">
        <v>149</v>
      </c>
    </row>
    <row r="40" spans="1:4" x14ac:dyDescent="0.25">
      <c r="A40" s="147">
        <v>0.39583333333333398</v>
      </c>
      <c r="B40" s="145" t="s">
        <v>150</v>
      </c>
    </row>
    <row r="41" spans="1:4" x14ac:dyDescent="0.25">
      <c r="A41" s="147">
        <v>0.40625</v>
      </c>
      <c r="B41" s="145" t="s">
        <v>151</v>
      </c>
    </row>
    <row r="42" spans="1:4" x14ac:dyDescent="0.25">
      <c r="A42" s="147">
        <v>0.41666666666666702</v>
      </c>
      <c r="B42" s="145" t="s">
        <v>152</v>
      </c>
    </row>
    <row r="43" spans="1:4" x14ac:dyDescent="0.25">
      <c r="A43" s="147">
        <v>0.42708333333333398</v>
      </c>
      <c r="B43" s="145" t="s">
        <v>153</v>
      </c>
    </row>
    <row r="44" spans="1:4" x14ac:dyDescent="0.25">
      <c r="A44" s="147">
        <v>0.4375</v>
      </c>
      <c r="B44" s="145" t="s">
        <v>154</v>
      </c>
    </row>
    <row r="45" spans="1:4" x14ac:dyDescent="0.25">
      <c r="A45" s="147">
        <v>0.44791666666666702</v>
      </c>
      <c r="B45" s="145" t="s">
        <v>155</v>
      </c>
    </row>
    <row r="46" spans="1:4" x14ac:dyDescent="0.25">
      <c r="A46" s="147">
        <v>0.45833333333333398</v>
      </c>
      <c r="B46" s="145" t="s">
        <v>156</v>
      </c>
    </row>
    <row r="47" spans="1:4" x14ac:dyDescent="0.25">
      <c r="A47" s="147">
        <v>0.46875</v>
      </c>
      <c r="B47" s="145" t="s">
        <v>157</v>
      </c>
    </row>
    <row r="48" spans="1:4" x14ac:dyDescent="0.25">
      <c r="A48" s="147">
        <v>0.47916666666666702</v>
      </c>
      <c r="B48" s="145" t="s">
        <v>158</v>
      </c>
    </row>
    <row r="49" spans="1:2" x14ac:dyDescent="0.25">
      <c r="A49" s="147">
        <v>0.48958333333333398</v>
      </c>
      <c r="B49" s="145" t="s">
        <v>159</v>
      </c>
    </row>
    <row r="50" spans="1:2" x14ac:dyDescent="0.25">
      <c r="A50" s="147">
        <v>0.5</v>
      </c>
      <c r="B50" s="145" t="s">
        <v>160</v>
      </c>
    </row>
    <row r="51" spans="1:2" x14ac:dyDescent="0.25">
      <c r="A51" s="147">
        <v>0.51041666666666696</v>
      </c>
      <c r="B51" s="145" t="s">
        <v>161</v>
      </c>
    </row>
    <row r="52" spans="1:2" x14ac:dyDescent="0.25">
      <c r="A52" s="147">
        <v>0.52083333333333404</v>
      </c>
      <c r="B52" s="145" t="s">
        <v>162</v>
      </c>
    </row>
    <row r="53" spans="1:2" x14ac:dyDescent="0.25">
      <c r="A53" s="147">
        <v>0.53125</v>
      </c>
      <c r="B53" s="145" t="s">
        <v>163</v>
      </c>
    </row>
    <row r="54" spans="1:2" x14ac:dyDescent="0.25">
      <c r="A54" s="147">
        <v>0.54166666666666696</v>
      </c>
      <c r="B54" s="145" t="s">
        <v>164</v>
      </c>
    </row>
    <row r="55" spans="1:2" x14ac:dyDescent="0.25">
      <c r="A55" s="147">
        <v>0.55208333333333404</v>
      </c>
      <c r="B55" s="145" t="s">
        <v>165</v>
      </c>
    </row>
    <row r="56" spans="1:2" x14ac:dyDescent="0.25">
      <c r="A56" s="147">
        <v>0.5625</v>
      </c>
      <c r="B56" s="145" t="s">
        <v>166</v>
      </c>
    </row>
    <row r="57" spans="1:2" x14ac:dyDescent="0.25">
      <c r="A57" s="147">
        <v>0.57291666666666696</v>
      </c>
      <c r="B57" s="145" t="s">
        <v>167</v>
      </c>
    </row>
    <row r="58" spans="1:2" x14ac:dyDescent="0.25">
      <c r="A58" s="147">
        <v>0.58333333333333404</v>
      </c>
      <c r="B58" s="145" t="s">
        <v>168</v>
      </c>
    </row>
    <row r="59" spans="1:2" x14ac:dyDescent="0.25">
      <c r="A59" s="147">
        <v>0.59375</v>
      </c>
      <c r="B59" s="145" t="s">
        <v>169</v>
      </c>
    </row>
    <row r="60" spans="1:2" x14ac:dyDescent="0.25">
      <c r="A60" s="147">
        <v>0.60416666666666696</v>
      </c>
      <c r="B60" s="145" t="s">
        <v>170</v>
      </c>
    </row>
    <row r="61" spans="1:2" x14ac:dyDescent="0.25">
      <c r="A61" s="147">
        <v>0.61458333333333404</v>
      </c>
      <c r="B61" s="145" t="s">
        <v>171</v>
      </c>
    </row>
    <row r="62" spans="1:2" x14ac:dyDescent="0.25">
      <c r="A62" s="147">
        <v>0.625</v>
      </c>
      <c r="B62" s="145" t="s">
        <v>172</v>
      </c>
    </row>
    <row r="63" spans="1:2" x14ac:dyDescent="0.25">
      <c r="A63" s="147">
        <v>0.63541666666666696</v>
      </c>
      <c r="B63" s="145" t="s">
        <v>173</v>
      </c>
    </row>
    <row r="64" spans="1:2" x14ac:dyDescent="0.25">
      <c r="A64" s="147">
        <v>0.64583333333333404</v>
      </c>
      <c r="B64" s="145" t="s">
        <v>174</v>
      </c>
    </row>
    <row r="65" spans="1:2" x14ac:dyDescent="0.25">
      <c r="A65" s="147">
        <v>0.65625</v>
      </c>
      <c r="B65" s="145" t="s">
        <v>175</v>
      </c>
    </row>
    <row r="66" spans="1:2" x14ac:dyDescent="0.25">
      <c r="A66" s="147">
        <v>0.66666666666666696</v>
      </c>
      <c r="B66" s="145" t="s">
        <v>176</v>
      </c>
    </row>
    <row r="67" spans="1:2" x14ac:dyDescent="0.25">
      <c r="A67" s="147">
        <v>0.67708333333333404</v>
      </c>
      <c r="B67" s="145" t="s">
        <v>177</v>
      </c>
    </row>
    <row r="68" spans="1:2" x14ac:dyDescent="0.25">
      <c r="A68" s="147">
        <v>0.6875</v>
      </c>
      <c r="B68" s="145" t="s">
        <v>178</v>
      </c>
    </row>
    <row r="69" spans="1:2" x14ac:dyDescent="0.25">
      <c r="A69" s="147">
        <v>0.69791666666666696</v>
      </c>
      <c r="B69" s="145" t="s">
        <v>179</v>
      </c>
    </row>
    <row r="70" spans="1:2" x14ac:dyDescent="0.25">
      <c r="A70" s="147">
        <v>0.70833333333333404</v>
      </c>
      <c r="B70" s="145" t="s">
        <v>180</v>
      </c>
    </row>
    <row r="71" spans="1:2" x14ac:dyDescent="0.25">
      <c r="A71" s="147">
        <v>0.71875</v>
      </c>
      <c r="B71" s="145" t="s">
        <v>181</v>
      </c>
    </row>
    <row r="72" spans="1:2" x14ac:dyDescent="0.25">
      <c r="A72" s="147">
        <v>0.72916666666666696</v>
      </c>
      <c r="B72" s="145" t="s">
        <v>182</v>
      </c>
    </row>
    <row r="73" spans="1:2" x14ac:dyDescent="0.25">
      <c r="A73" s="147">
        <v>0.73958333333333404</v>
      </c>
      <c r="B73" s="145" t="s">
        <v>183</v>
      </c>
    </row>
    <row r="74" spans="1:2" x14ac:dyDescent="0.25">
      <c r="A74" s="147">
        <v>0.75</v>
      </c>
      <c r="B74" s="145" t="s">
        <v>184</v>
      </c>
    </row>
    <row r="75" spans="1:2" x14ac:dyDescent="0.25">
      <c r="A75" s="147">
        <v>0.76041666666666696</v>
      </c>
      <c r="B75" s="145" t="s">
        <v>185</v>
      </c>
    </row>
    <row r="76" spans="1:2" x14ac:dyDescent="0.25">
      <c r="A76" s="147">
        <v>0.77083333333333404</v>
      </c>
      <c r="B76" s="145" t="s">
        <v>186</v>
      </c>
    </row>
    <row r="77" spans="1:2" x14ac:dyDescent="0.25">
      <c r="A77" s="147">
        <v>0.78125</v>
      </c>
      <c r="B77" s="145" t="s">
        <v>187</v>
      </c>
    </row>
    <row r="78" spans="1:2" x14ac:dyDescent="0.25">
      <c r="A78" s="147">
        <v>0.79166666666666696</v>
      </c>
      <c r="B78" s="145" t="s">
        <v>188</v>
      </c>
    </row>
    <row r="79" spans="1:2" x14ac:dyDescent="0.25">
      <c r="A79" s="147">
        <v>0.80208333333333404</v>
      </c>
      <c r="B79" s="145" t="s">
        <v>189</v>
      </c>
    </row>
    <row r="80" spans="1:2" x14ac:dyDescent="0.25">
      <c r="A80" s="147">
        <v>0.8125</v>
      </c>
      <c r="B80" s="145" t="s">
        <v>190</v>
      </c>
    </row>
    <row r="81" spans="1:2" x14ac:dyDescent="0.25">
      <c r="A81" s="147">
        <v>0.82291666666666696</v>
      </c>
      <c r="B81" s="145" t="s">
        <v>191</v>
      </c>
    </row>
    <row r="82" spans="1:2" x14ac:dyDescent="0.25">
      <c r="A82" s="147">
        <v>0.83333333333333404</v>
      </c>
      <c r="B82" s="145" t="s">
        <v>192</v>
      </c>
    </row>
    <row r="83" spans="1:2" x14ac:dyDescent="0.25">
      <c r="A83" s="147">
        <v>0.84375</v>
      </c>
      <c r="B83" s="145" t="s">
        <v>193</v>
      </c>
    </row>
    <row r="84" spans="1:2" x14ac:dyDescent="0.25">
      <c r="A84" s="147">
        <v>0.85416666666666696</v>
      </c>
      <c r="B84" s="145" t="s">
        <v>194</v>
      </c>
    </row>
    <row r="85" spans="1:2" x14ac:dyDescent="0.25">
      <c r="A85" s="147">
        <v>0.86458333333333404</v>
      </c>
      <c r="B85" s="145" t="s">
        <v>195</v>
      </c>
    </row>
    <row r="86" spans="1:2" x14ac:dyDescent="0.25">
      <c r="A86" s="147">
        <v>0.875</v>
      </c>
      <c r="B86" s="145" t="s">
        <v>196</v>
      </c>
    </row>
    <row r="87" spans="1:2" x14ac:dyDescent="0.25">
      <c r="A87" s="147">
        <v>0.88541666666666696</v>
      </c>
      <c r="B87" s="145" t="s">
        <v>197</v>
      </c>
    </row>
    <row r="88" spans="1:2" x14ac:dyDescent="0.25">
      <c r="A88" s="147">
        <v>0.89583333333333404</v>
      </c>
      <c r="B88" s="145" t="s">
        <v>198</v>
      </c>
    </row>
    <row r="89" spans="1:2" x14ac:dyDescent="0.25">
      <c r="A89" s="147">
        <v>0.90625</v>
      </c>
      <c r="B89" s="145" t="s">
        <v>199</v>
      </c>
    </row>
    <row r="90" spans="1:2" x14ac:dyDescent="0.25">
      <c r="A90" s="147">
        <v>0.91666666666666696</v>
      </c>
      <c r="B90" s="145" t="s">
        <v>200</v>
      </c>
    </row>
    <row r="91" spans="1:2" x14ac:dyDescent="0.25">
      <c r="A91" s="147">
        <v>0.92708333333333404</v>
      </c>
      <c r="B91" s="145" t="s">
        <v>201</v>
      </c>
    </row>
    <row r="92" spans="1:2" x14ac:dyDescent="0.25">
      <c r="A92" s="147">
        <v>0.9375</v>
      </c>
      <c r="B92" s="145" t="s">
        <v>202</v>
      </c>
    </row>
    <row r="93" spans="1:2" x14ac:dyDescent="0.25">
      <c r="A93" s="147">
        <v>0.94791666666666696</v>
      </c>
      <c r="B93" s="145" t="s">
        <v>203</v>
      </c>
    </row>
    <row r="94" spans="1:2" x14ac:dyDescent="0.25">
      <c r="A94" s="147">
        <v>0.95833333333333404</v>
      </c>
      <c r="B94" s="145" t="s">
        <v>204</v>
      </c>
    </row>
    <row r="95" spans="1:2" x14ac:dyDescent="0.25">
      <c r="A95" s="147">
        <v>0.96875</v>
      </c>
      <c r="B95" s="145" t="s">
        <v>205</v>
      </c>
    </row>
    <row r="96" spans="1:2" x14ac:dyDescent="0.25">
      <c r="A96" s="147">
        <v>0.97916666666666696</v>
      </c>
      <c r="B96" s="145" t="s">
        <v>206</v>
      </c>
    </row>
    <row r="97" spans="1:2" x14ac:dyDescent="0.25">
      <c r="A97" s="147">
        <v>0.98958333333333404</v>
      </c>
      <c r="B97" s="145" t="s">
        <v>207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27</vt:i4>
      </vt:variant>
    </vt:vector>
  </HeadingPairs>
  <TitlesOfParts>
    <vt:vector size="32" baseType="lpstr">
      <vt:lpstr>LISEZ-MOI !</vt:lpstr>
      <vt:lpstr>PARAMETRES</vt:lpstr>
      <vt:lpstr>SYNTHESE</vt:lpstr>
      <vt:lpstr>Fiche de relecture de pairs</vt:lpstr>
      <vt:lpstr>Feuil1</vt:lpstr>
      <vt:lpstr>agence</vt:lpstr>
      <vt:lpstr>Approbateur</vt:lpstr>
      <vt:lpstr>Chemin</vt:lpstr>
      <vt:lpstr>client</vt:lpstr>
      <vt:lpstr>ctc_client</vt:lpstr>
      <vt:lpstr>date</vt:lpstr>
      <vt:lpstr>DateApprobation</vt:lpstr>
      <vt:lpstr>DateRedaction</vt:lpstr>
      <vt:lpstr>DateVerification</vt:lpstr>
      <vt:lpstr>fichier</vt:lpstr>
      <vt:lpstr>ident</vt:lpstr>
      <vt:lpstr>'Fiche de relecture de pairs'!Impression_des_titres</vt:lpstr>
      <vt:lpstr>'LISEZ-MOI !'!Impression_des_titres</vt:lpstr>
      <vt:lpstr>SYNTHESE!Impression_des_titres</vt:lpstr>
      <vt:lpstr>Numéro_IFS</vt:lpstr>
      <vt:lpstr>projet</vt:lpstr>
      <vt:lpstr>redacteur</vt:lpstr>
      <vt:lpstr>ref_modele</vt:lpstr>
      <vt:lpstr>RefClient</vt:lpstr>
      <vt:lpstr>Securite</vt:lpstr>
      <vt:lpstr>TypeDoc</vt:lpstr>
      <vt:lpstr>verificateur</vt:lpstr>
      <vt:lpstr>version</vt:lpstr>
      <vt:lpstr>'Fiche de relecture de pairs'!Zone_d_impression</vt:lpstr>
      <vt:lpstr>'LISEZ-MOI !'!Zone_d_impression</vt:lpstr>
      <vt:lpstr>PARAMETRES!Zone_d_impression</vt:lpstr>
      <vt:lpstr>SYNTHESE!Zone_d_impression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SII</dc:creator>
  <cp:lastModifiedBy>Janyce LLOBET</cp:lastModifiedBy>
  <cp:lastPrinted>2015-03-04T10:16:10Z</cp:lastPrinted>
  <dcterms:created xsi:type="dcterms:W3CDTF">2000-02-18T09:46:57Z</dcterms:created>
  <dcterms:modified xsi:type="dcterms:W3CDTF">2023-02-23T10:21:27Z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ef-modele">
    <vt:lpwstr>S4-0362-07</vt:lpwstr>
  </property>
  <property fmtid="{D5CDD505-2E9C-101B-9397-08002B2CF9AE}" pid="3" name="Client" linkTarget="client">
    <vt:lpwstr>&lt;Nom du Client&gt;</vt:lpwstr>
  </property>
  <property fmtid="{D5CDD505-2E9C-101B-9397-08002B2CF9AE}" pid="4" name="Référence" linkTarget="RefClient">
    <vt:lpwstr>N/A</vt:lpwstr>
  </property>
  <property fmtid="{D5CDD505-2E9C-101B-9397-08002B2CF9AE}" pid="5" name="Projet" linkTarget="projet">
    <vt:lpwstr>&lt;Nom du Projet&gt;</vt:lpwstr>
  </property>
  <property fmtid="{D5CDD505-2E9C-101B-9397-08002B2CF9AE}" pid="6" name="Type de document" linkTarget="TypeDoc">
    <vt:lpwstr>Fiche de revue de pairs</vt:lpwstr>
  </property>
  <property fmtid="{D5CDD505-2E9C-101B-9397-08002B2CF9AE}" pid="7" name="Nom société">
    <vt:lpwstr>SII</vt:lpwstr>
  </property>
  <property fmtid="{D5CDD505-2E9C-101B-9397-08002B2CF9AE}" pid="8" name="Date de référence" linkTarget="date">
    <vt:filetime>2023-02-23T23:00:00Z</vt:filetime>
  </property>
  <property fmtid="{D5CDD505-2E9C-101B-9397-08002B2CF9AE}" pid="9" name="Site" linkTarget="agence">
    <vt:lpwstr>Toulouse</vt:lpwstr>
  </property>
  <property fmtid="{D5CDD505-2E9C-101B-9397-08002B2CF9AE}" pid="10" name="VersionDocument" linkTarget="version">
    <vt:lpwstr>&lt;Version du document&gt;</vt:lpwstr>
  </property>
  <property fmtid="{D5CDD505-2E9C-101B-9397-08002B2CF9AE}" pid="11" name="NomRedacteur" linkTarget="redacteur">
    <vt:lpwstr>&lt;Nom du Rédacteur&gt;</vt:lpwstr>
  </property>
  <property fmtid="{D5CDD505-2E9C-101B-9397-08002B2CF9AE}" pid="12" name="DateRedaction" linkTarget="DateRedaction">
    <vt:lpwstr>&lt;Date Rédaction&gt;</vt:lpwstr>
  </property>
  <property fmtid="{D5CDD505-2E9C-101B-9397-08002B2CF9AE}" pid="13" name="NomVerificateur" linkTarget="verificateur">
    <vt:lpwstr>&lt;Nom du Vérificateur&gt;</vt:lpwstr>
  </property>
  <property fmtid="{D5CDD505-2E9C-101B-9397-08002B2CF9AE}" pid="14" name="DateVerification" linkTarget="DateVerification">
    <vt:lpwstr>&lt;Date Vérification&gt;</vt:lpwstr>
  </property>
  <property fmtid="{D5CDD505-2E9C-101B-9397-08002B2CF9AE}" pid="15" name="NomApprobateur" linkTarget="Approbateur">
    <vt:lpwstr>&lt;Nom de l'Approbateur&gt;</vt:lpwstr>
  </property>
  <property fmtid="{D5CDD505-2E9C-101B-9397-08002B2CF9AE}" pid="16" name="DateApprobation" linkTarget="DateApprobation">
    <vt:lpwstr>&lt;Date Approbation&gt;</vt:lpwstr>
  </property>
  <property fmtid="{D5CDD505-2E9C-101B-9397-08002B2CF9AE}" pid="17" name="Adresse">
    <vt:lpwstr>Adresse agence</vt:lpwstr>
  </property>
  <property fmtid="{D5CDD505-2E9C-101B-9397-08002B2CF9AE}" pid="18" name="Ville">
    <vt:lpwstr>Ville Agence</vt:lpwstr>
  </property>
  <property fmtid="{D5CDD505-2E9C-101B-9397-08002B2CF9AE}" pid="19" name="Tél">
    <vt:lpwstr>telephone agence</vt:lpwstr>
  </property>
  <property fmtid="{D5CDD505-2E9C-101B-9397-08002B2CF9AE}" pid="20" name="Fax">
    <vt:lpwstr>Fax  Agence</vt:lpwstr>
  </property>
  <property fmtid="{D5CDD505-2E9C-101B-9397-08002B2CF9AE}" pid="21" name="Adresse2">
    <vt:lpwstr>Adresse complémentaire Agence</vt:lpwstr>
  </property>
  <property fmtid="{D5CDD505-2E9C-101B-9397-08002B2CF9AE}" pid="22" name="Ref_plan_type_doc">
    <vt:lpwstr>A compléter</vt:lpwstr>
  </property>
</Properties>
</file>